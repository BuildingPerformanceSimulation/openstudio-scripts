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360 Local\AEC Repo\CBECC Com Dev-SF\trunk\RulesetDev\Rulesets\CEC 2013 Nonres\Rules\Tables\"/>
    </mc:Choice>
  </mc:AlternateContent>
  <bookViews>
    <workbookView xWindow="0" yWindow="75" windowWidth="20505" windowHeight="10515" tabRatio="933" firstSheet="2" activeTab="3"/>
  </bookViews>
  <sheets>
    <sheet name="Key" sheetId="25" r:id="rId1"/>
    <sheet name="2013StandardTableList" sheetId="1" r:id="rId2"/>
    <sheet name="LtgInputRestrictions_T24N_2013" sheetId="43" r:id="rId3"/>
    <sheet name="LtgInputRestrictions_T24N_2016" sheetId="45" r:id="rId4"/>
    <sheet name="LtgInputRestrictions_S901G" sheetId="44" r:id="rId5"/>
    <sheet name="PAFs_T24N_2013" sheetId="26" r:id="rId6"/>
    <sheet name="PAFs_T24N_2016" sheetId="46" r:id="rId7"/>
    <sheet name="PAFs_S901G" sheetId="42" r:id="rId8"/>
    <sheet name="AreaCategoryLPA" sheetId="27" r:id="rId9"/>
    <sheet name="TailoredMethodLPA_T24N_2013" sheetId="28" r:id="rId10"/>
    <sheet name="TailoredMethodLPA_T24N_2016" sheetId="49" r:id="rId11"/>
    <sheet name="IlluminanceLevelLPD_T24N_2013" sheetId="29" r:id="rId12"/>
    <sheet name="IlluminanceLevelLPD_T24N_2016" sheetId="47" r:id="rId13"/>
    <sheet name="LightHeatGainDistribution" sheetId="34" r:id="rId14"/>
    <sheet name="DayltCtrlParms" sheetId="36" r:id="rId15"/>
    <sheet name="FenConsInputReqs_T24N" sheetId="35" r:id="rId16"/>
    <sheet name="FenConsInputReqs_S901G" sheetId="37" r:id="rId17"/>
    <sheet name="DefaultFenUFactors_T24N" sheetId="4" r:id="rId18"/>
    <sheet name="DefaultFenestrationSHGC_T24N" sheetId="30" r:id="rId19"/>
    <sheet name="DefaultVertFenPerf_S901G" sheetId="39" r:id="rId20"/>
    <sheet name="DefaultSkyltUFactors_S901G" sheetId="40" r:id="rId21"/>
    <sheet name="DefaultSkyltSHGC_S901G" sheetId="41" r:id="rId22"/>
    <sheet name="BaseVerticalFenPerf_T24N" sheetId="6" r:id="rId23"/>
    <sheet name="BaseSkylightPerf_T24N" sheetId="10" r:id="rId24"/>
    <sheet name="BaselineFenPerf_S901G" sheetId="38" r:id="rId25"/>
    <sheet name="NA6FenestrationUFactorCoeff" sheetId="31" r:id="rId26"/>
    <sheet name="NA6FenestrationVTf_T24N" sheetId="32" r:id="rId27"/>
    <sheet name="AltFenPerformance" sheetId="33" r:id="rId28"/>
    <sheet name="BaseOpaqueEnvEffRValue" sheetId="3" r:id="rId29"/>
    <sheet name="UnitaryAC-HPMinEffReq_Old" sheetId="7" r:id="rId30"/>
    <sheet name="UnitaryAC-HPMinEffReq_New" sheetId="48" r:id="rId31"/>
    <sheet name="ChillerMinEffReq" sheetId="19" r:id="rId32"/>
    <sheet name="Sheet3" sheetId="9" r:id="rId33"/>
  </sheets>
  <externalReferences>
    <externalReference r:id="rId34"/>
  </externalReferences>
  <definedNames>
    <definedName name="Status" localSheetId="30">[1]Key!$B$4:$B$9</definedName>
    <definedName name="Status">Key!$B$4:$B$9</definedName>
  </definedNames>
  <calcPr calcId="171027"/>
</workbook>
</file>

<file path=xl/calcChain.xml><?xml version="1.0" encoding="utf-8"?>
<calcChain xmlns="http://schemas.openxmlformats.org/spreadsheetml/2006/main">
  <c r="B22" i="49" l="1"/>
  <c r="C18" i="49"/>
  <c r="B23" i="48" l="1"/>
  <c r="C28" i="47" l="1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B22" i="45" l="1"/>
  <c r="B22" i="44" l="1"/>
  <c r="B22" i="43" l="1"/>
  <c r="T34" i="35" l="1"/>
  <c r="T35" i="35"/>
  <c r="F21" i="41" l="1"/>
  <c r="F19" i="41"/>
  <c r="C119" i="38" l="1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C124" i="38" l="1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C18" i="36" l="1"/>
  <c r="T36" i="35" l="1"/>
  <c r="T33" i="35"/>
  <c r="T32" i="35"/>
  <c r="T31" i="35"/>
  <c r="T30" i="35"/>
  <c r="T29" i="35"/>
  <c r="T28" i="35"/>
  <c r="T27" i="35"/>
  <c r="T26" i="35"/>
  <c r="C18" i="34" l="1"/>
  <c r="B22" i="34"/>
  <c r="C18" i="29" l="1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4" i="19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O66" i="3" l="1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</calcChain>
</file>

<file path=xl/sharedStrings.xml><?xml version="1.0" encoding="utf-8"?>
<sst xmlns="http://schemas.openxmlformats.org/spreadsheetml/2006/main" count="5406" uniqueCount="943">
  <si>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</si>
  <si>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</si>
  <si>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</si>
  <si>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</si>
  <si>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</si>
  <si>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</si>
  <si>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</si>
  <si>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</si>
  <si>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</si>
  <si>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</si>
  <si>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</si>
  <si>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</si>
  <si>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IEER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</si>
  <si>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</si>
  <si>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</si>
  <si>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</si>
  <si>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</si>
  <si>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</si>
  <si>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</si>
  <si>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</si>
  <si>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</si>
  <si>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</si>
  <si>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</si>
  <si>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</si>
  <si>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</si>
  <si>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</si>
  <si>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</si>
  <si>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</si>
  <si>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</si>
  <si>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</si>
  <si>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</si>
  <si>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</si>
  <si>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</si>
  <si>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</si>
  <si>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</si>
  <si>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</si>
  <si>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</si>
  <si>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</si>
  <si>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</si>
  <si>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</si>
  <si>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</si>
  <si>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</si>
  <si>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</si>
  <si>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</si>
  <si>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</si>
  <si>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</si>
  <si>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</si>
  <si>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</si>
  <si>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</si>
  <si>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</si>
  <si>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</si>
  <si>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</si>
  <si>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</si>
  <si>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</si>
  <si>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</si>
  <si>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</si>
  <si>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</si>
  <si>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</si>
  <si>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</si>
  <si>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</si>
  <si>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</si>
  <si>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</si>
  <si>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</si>
  <si>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</si>
  <si>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</si>
  <si>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</si>
  <si>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</si>
  <si>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</si>
  <si>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</si>
  <si>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</si>
  <si>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</si>
  <si>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</si>
  <si>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</si>
  <si>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</si>
  <si>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</si>
  <si>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</si>
  <si>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</si>
  <si>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</si>
  <si>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</si>
  <si>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</si>
  <si>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</si>
  <si>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</si>
  <si>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</si>
  <si>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</si>
  <si>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</si>
  <si>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</si>
  <si>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</si>
  <si>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</si>
  <si>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</si>
  <si>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</si>
  <si>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</si>
  <si>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</si>
  <si>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</si>
  <si>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</si>
  <si>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</si>
  <si>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</si>
  <si>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</si>
  <si>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</si>
  <si>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</si>
  <si>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</si>
  <si>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</si>
  <si>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</si>
  <si>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</si>
  <si>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</si>
  <si>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</si>
  <si>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</si>
  <si>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</si>
  <si>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</si>
  <si>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</si>
  <si>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</si>
  <si>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</si>
  <si>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</si>
  <si>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</si>
  <si>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</si>
  <si>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</si>
  <si>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</si>
  <si>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</si>
  <si>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</si>
  <si>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</si>
  <si>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</si>
  <si>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</si>
  <si>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</si>
  <si>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</si>
  <si>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</si>
  <si>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</si>
  <si>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</si>
  <si>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</si>
  <si>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</si>
  <si>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</si>
  <si>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</si>
  <si>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</si>
  <si>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</si>
  <si>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</si>
  <si>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</si>
  <si>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</si>
  <si>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</si>
  <si>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</si>
  <si>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</si>
  <si>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</si>
  <si>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</si>
  <si>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</si>
  <si>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</si>
  <si>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</si>
  <si>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</si>
  <si>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</si>
  <si>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</si>
  <si>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</si>
  <si>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</si>
  <si>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</si>
  <si>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</si>
  <si>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</si>
  <si>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</si>
  <si>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</si>
  <si>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</si>
  <si>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</si>
  <si>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</si>
  <si>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</si>
  <si>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</si>
  <si>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</si>
  <si>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</si>
  <si>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</si>
  <si>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</si>
  <si>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</si>
  <si>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</si>
  <si>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</si>
  <si>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</si>
  <si>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</si>
  <si>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</si>
  <si>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</si>
  <si>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</si>
  <si>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</si>
  <si>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</si>
  <si>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</si>
  <si>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</si>
  <si>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</si>
  <si>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</si>
  <si>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</si>
  <si>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</si>
  <si>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</si>
  <si>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</si>
  <si>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</si>
  <si>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</si>
  <si>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</si>
  <si>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</si>
  <si>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</si>
  <si>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</si>
  <si>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</si>
  <si>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</si>
  <si>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</si>
  <si>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</si>
  <si>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</si>
  <si>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</si>
  <si>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</si>
  <si>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</si>
  <si>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</si>
  <si>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</si>
  <si>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</si>
  <si>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</si>
  <si>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</si>
  <si>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</si>
  <si>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</si>
  <si>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</si>
  <si>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</si>
  <si>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</si>
  <si>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</si>
  <si>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</si>
  <si>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</si>
  <si>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</si>
  <si>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</si>
  <si>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</si>
  <si>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</si>
  <si>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</si>
  <si>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</si>
  <si>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</si>
  <si>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</si>
  <si>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</si>
  <si>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</si>
  <si>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</si>
  <si>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</si>
  <si>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</si>
  <si>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</si>
  <si>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</si>
  <si>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</si>
  <si>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</si>
  <si>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</si>
  <si>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</si>
  <si>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</si>
  <si>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</si>
  <si>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</si>
  <si>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</si>
  <si>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</si>
  <si>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</si>
  <si>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</si>
  <si>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</si>
  <si>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</si>
  <si>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</si>
  <si>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</si>
  <si>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</si>
  <si>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</si>
  <si>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</si>
  <si>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</si>
  <si>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</si>
  <si>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</si>
  <si>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</si>
  <si>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</si>
  <si>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</si>
  <si>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</si>
  <si>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</si>
  <si>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</si>
  <si>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</si>
  <si>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</si>
  <si>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</si>
  <si>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</si>
  <si>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</si>
  <si>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</si>
  <si>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</si>
  <si>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</si>
  <si>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</si>
  <si>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 xml:space="preserve">DoublePane 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</si>
  <si>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</si>
  <si>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</si>
  <si>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</si>
  <si>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</si>
  <si>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</si>
  <si>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</si>
  <si>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</si>
  <si>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</si>
  <si>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</si>
  <si>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</si>
  <si>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</si>
  <si>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</si>
  <si>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</si>
  <si>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</si>
  <si>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</si>
  <si>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</si>
  <si>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TABLE ElecOp_UnitaryA/C-CU_MinEffReq</t>
  </si>
  <si>
    <t>&lt;240</t>
  </si>
  <si>
    <t>&lt;760</t>
  </si>
  <si>
    <t>&gt;=760</t>
  </si>
  <si>
    <t>&lt;135</t>
  </si>
  <si>
    <t>SizeCategory</t>
  </si>
  <si>
    <t>EquipmentType</t>
  </si>
  <si>
    <t>&gt;240</t>
  </si>
  <si>
    <t>AC, air-cooled, split/pkgd</t>
  </si>
  <si>
    <t xml:space="preserve">Air-cooled (cooling mode) 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</si>
  <si>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</si>
  <si>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</si>
  <si>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</si>
  <si>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</si>
  <si>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</si>
  <si>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</si>
  <si>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</si>
  <si>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</si>
  <si>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</si>
  <si>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</si>
  <si>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</si>
  <si>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</si>
  <si>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</si>
  <si>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</si>
  <si>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</si>
  <si>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</si>
  <si>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</si>
  <si>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</si>
  <si>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</si>
  <si>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</si>
  <si>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</si>
  <si>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</si>
  <si>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</si>
  <si>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</si>
  <si>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</si>
  <si>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TABLE 110.2-D - WATER CHILLING PACKAGES – MINIMUM EFFICIENCY REQUIREMENTS</t>
  </si>
  <si>
    <t>No requirements for Positive displacement chillers with design leaving fluid temperature &lt;= 32°F</t>
  </si>
  <si>
    <t>&lt;300</t>
  </si>
  <si>
    <t>kW/ton</t>
  </si>
  <si>
    <t>&gt;=300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</si>
  <si>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</si>
  <si>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</si>
  <si>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</si>
  <si>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</si>
  <si>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</si>
  <si>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</si>
  <si>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</si>
  <si>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</si>
  <si>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</si>
  <si>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</si>
  <si>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</si>
  <si>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</si>
  <si>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</si>
  <si>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</si>
  <si>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</si>
  <si>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</si>
  <si>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</si>
  <si>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</si>
  <si>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</si>
  <si>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</si>
  <si>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</si>
  <si>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</si>
  <si>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</si>
  <si>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</si>
  <si>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</si>
  <si>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</si>
  <si>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</si>
  <si>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</si>
  <si>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</si>
  <si>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</si>
  <si>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</si>
  <si>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</si>
  <si>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</si>
  <si>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</si>
  <si>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</si>
  <si>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</si>
  <si>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</si>
  <si>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</si>
  <si>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</si>
  <si>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</si>
  <si>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</si>
  <si>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</si>
  <si>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</si>
  <si>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</si>
  <si>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</si>
  <si>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</si>
  <si>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</si>
  <si>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</si>
  <si>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</si>
  <si>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</si>
  <si>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</si>
  <si>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</si>
  <si>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</si>
  <si>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</si>
  <si>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</si>
  <si>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</si>
  <si>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</si>
  <si>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</si>
  <si>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</si>
  <si>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</si>
  <si>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</si>
  <si>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</si>
  <si>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</si>
  <si>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</si>
  <si>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</si>
  <si>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</si>
  <si>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</si>
  <si>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</si>
  <si>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</si>
  <si>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</si>
  <si>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Reformat table and add error codes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</si>
  <si>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</si>
  <si>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</si>
  <si>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</si>
  <si>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</si>
  <si>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</si>
  <si>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</si>
  <si>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</si>
  <si>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</si>
  <si>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</si>
  <si>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Baseline chiller performance is assumed to meet requirements of Path B</t>
  </si>
  <si>
    <t>Screw</t>
  </si>
  <si>
    <t>Screw chiller = Positive Displacement</t>
  </si>
  <si>
    <t>&lt;75</t>
  </si>
  <si>
    <t>&lt;150</t>
  </si>
  <si>
    <t>Centrifugal</t>
  </si>
  <si>
    <t>&lt;600</t>
  </si>
  <si>
    <t>&gt;=600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</si>
  <si>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</si>
  <si>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</si>
  <si>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</si>
  <si>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</si>
  <si>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</si>
  <si>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</si>
  <si>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</si>
  <si>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</si>
  <si>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</si>
  <si>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</si>
  <si>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</si>
  <si>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</si>
  <si>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</si>
  <si>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</si>
  <si>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</si>
  <si>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</si>
  <si>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</si>
  <si>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</si>
  <si>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</si>
  <si>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</si>
  <si>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</si>
  <si>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</si>
  <si>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</si>
  <si>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</si>
  <si>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</si>
  <si>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</si>
  <si>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</si>
  <si>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</si>
  <si>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</si>
  <si>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</si>
  <si>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</si>
  <si>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</si>
  <si>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</si>
  <si>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</si>
  <si>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</si>
  <si>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</si>
  <si>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</si>
  <si>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</si>
  <si>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</si>
  <si>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</si>
  <si>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</si>
  <si>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</si>
  <si>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</si>
  <si>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</si>
  <si>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</si>
  <si>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</si>
  <si>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</si>
  <si>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</si>
  <si>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</si>
  <si>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</si>
  <si>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</si>
  <si>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</si>
  <si>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</si>
  <si>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</si>
  <si>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</si>
  <si>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</si>
  <si>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</si>
  <si>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</si>
  <si>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</si>
  <si>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</si>
  <si>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</si>
  <si>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</si>
  <si>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</si>
  <si>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</si>
  <si>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</si>
  <si>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</si>
  <si>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</si>
  <si>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</si>
  <si>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</si>
  <si>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</si>
  <si>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</si>
  <si>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</si>
  <si>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</si>
  <si>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</si>
  <si>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</si>
  <si>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</si>
  <si>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</si>
  <si>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</si>
  <si>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</si>
  <si>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</si>
  <si>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</si>
  <si>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</si>
  <si>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</si>
  <si>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</si>
  <si>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</si>
  <si>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</si>
  <si>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</si>
  <si>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</si>
  <si>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</si>
  <si>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</si>
  <si>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</si>
  <si>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</si>
  <si>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</si>
  <si>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</si>
  <si>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</si>
  <si>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</si>
  <si>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</si>
  <si>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</si>
  <si>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</si>
  <si>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</si>
  <si>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</si>
  <si>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</si>
  <si>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</si>
  <si>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</si>
  <si>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</si>
  <si>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</si>
  <si>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</si>
  <si>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</si>
  <si>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</si>
  <si>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</si>
  <si>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</si>
  <si>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</si>
  <si>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</si>
  <si>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</si>
  <si>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</si>
  <si>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</si>
  <si>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</si>
  <si>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</si>
  <si>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</si>
  <si>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</si>
  <si>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</si>
  <si>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</si>
  <si>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</si>
  <si>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</si>
  <si>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</si>
  <si>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</si>
  <si>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</si>
  <si>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</si>
  <si>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</si>
  <si>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</si>
  <si>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</si>
  <si>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</si>
  <si>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</si>
  <si>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</si>
  <si>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</si>
  <si>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</si>
  <si>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</si>
  <si>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</si>
  <si>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</si>
  <si>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</si>
  <si>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</si>
  <si>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</si>
  <si>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</si>
  <si>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</si>
  <si>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</si>
  <si>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</si>
  <si>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</si>
  <si>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</si>
  <si>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</si>
  <si>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</si>
  <si>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</si>
  <si>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</si>
  <si>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</si>
  <si>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</si>
  <si>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</si>
  <si>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</si>
  <si>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</si>
  <si>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</si>
  <si>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</si>
  <si>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</si>
  <si>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</si>
  <si>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</si>
  <si>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</si>
  <si>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</si>
  <si>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</si>
  <si>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</si>
  <si>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</si>
  <si>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</si>
  <si>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</si>
  <si>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</si>
  <si>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</si>
  <si>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</si>
  <si>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</si>
  <si>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</si>
  <si>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</si>
  <si>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</si>
  <si>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</si>
  <si>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</si>
  <si>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</si>
  <si>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</si>
  <si>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</si>
  <si>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</si>
  <si>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</si>
  <si>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</si>
  <si>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</si>
  <si>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</si>
  <si>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</si>
  <si>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</si>
  <si>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</si>
  <si>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</si>
  <si>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</si>
  <si>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</si>
  <si>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</si>
  <si>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</si>
  <si>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</si>
  <si>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</si>
  <si>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</si>
  <si>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</si>
  <si>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</si>
  <si>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</si>
  <si>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</si>
  <si>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</si>
  <si>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</si>
  <si>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</si>
  <si>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</si>
  <si>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</si>
  <si>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</si>
  <si>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</si>
  <si>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</si>
  <si>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</si>
  <si>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</si>
  <si>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</si>
  <si>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</si>
  <si>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</si>
  <si>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</si>
  <si>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</si>
  <si>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</si>
  <si>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</si>
  <si>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</si>
  <si>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</si>
  <si>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</si>
  <si>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</si>
  <si>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</si>
  <si>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</si>
  <si>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</si>
  <si>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</si>
  <si>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</si>
  <si>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</si>
  <si>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</si>
  <si>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</si>
  <si>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</si>
  <si>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</si>
  <si>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</si>
  <si>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</si>
  <si>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</si>
  <si>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</si>
  <si>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</si>
  <si>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</si>
  <si>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</si>
  <si>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</si>
  <si>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</si>
  <si>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</si>
  <si>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</si>
  <si>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</si>
  <si>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</si>
  <si>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</si>
  <si>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</si>
  <si>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</si>
  <si>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</si>
  <si>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</si>
  <si>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</si>
  <si>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</si>
  <si>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</si>
  <si>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</si>
  <si>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</si>
  <si>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</si>
  <si>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</si>
  <si>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</si>
  <si>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</si>
  <si>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</si>
  <si>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</si>
  <si>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</si>
  <si>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</si>
  <si>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</si>
  <si>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</si>
  <si>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</si>
  <si>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</si>
  <si>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</si>
  <si>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</si>
  <si>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</si>
  <si>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</si>
  <si>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</si>
  <si>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</si>
  <si>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</si>
  <si>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</si>
  <si>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</si>
  <si>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</si>
  <si>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</si>
  <si>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</si>
  <si>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</si>
  <si>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</si>
  <si>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</si>
  <si>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</si>
  <si>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</si>
  <si>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</si>
  <si>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</si>
  <si>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</si>
  <si>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</si>
  <si>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 xml:space="preserve">GlazingTint= 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</si>
  <si>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</si>
  <si>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</si>
  <si>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</si>
  <si>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</si>
  <si>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</si>
  <si>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</si>
  <si>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</si>
  <si>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</si>
  <si>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</si>
  <si>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</si>
  <si>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</si>
  <si>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</si>
  <si>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</si>
  <si>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</si>
  <si>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</si>
  <si>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</si>
  <si>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</si>
  <si>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</si>
  <si>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</si>
  <si>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</si>
  <si>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</si>
  <si>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</si>
  <si>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</si>
  <si>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</si>
  <si>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</si>
  <si>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</si>
  <si>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</si>
  <si>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</si>
  <si>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</si>
  <si>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</si>
  <si>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</si>
  <si>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</si>
  <si>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</si>
  <si>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</si>
  <si>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</si>
  <si>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</si>
  <si>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</si>
  <si>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</si>
  <si>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</si>
  <si>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</si>
  <si>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</si>
  <si>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</si>
  <si>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</si>
  <si>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</si>
  <si>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</si>
  <si>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</si>
  <si>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</si>
  <si>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</si>
  <si>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</si>
  <si>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</si>
  <si>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</si>
  <si>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</si>
  <si>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</si>
  <si>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</si>
  <si>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</si>
  <si>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</si>
  <si>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</si>
  <si>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</si>
  <si>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</si>
  <si>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</si>
  <si>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</si>
  <si>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</si>
  <si>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</si>
  <si>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</si>
  <si>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</si>
  <si>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</si>
  <si>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</si>
  <si>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</si>
  <si>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</si>
  <si>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</si>
  <si>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</si>
  <si>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</si>
  <si>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</si>
  <si>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 xml:space="preserve">Tinted Glazing is not a valid selection for GlassBlock fenestration products 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</si>
  <si>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</si>
  <si>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</si>
  <si>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</si>
  <si>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</si>
  <si>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</si>
  <si>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</si>
  <si>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</si>
  <si>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</si>
  <si>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</si>
  <si>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</si>
  <si>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</si>
  <si>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</si>
  <si>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</si>
  <si>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</si>
  <si>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</si>
  <si>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</si>
  <si>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</si>
  <si>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</si>
  <si>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</si>
  <si>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</si>
  <si>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 xml:space="preserve"> </t>
  </si>
  <si>
    <t>PAFCredType</t>
  </si>
  <si>
    <t>90.1-2007 Nonresdiential ACM Ruleset</t>
  </si>
  <si>
    <t xml:space="preserve">             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</si>
  <si>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</si>
  <si>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</si>
  <si>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</si>
  <si>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</si>
  <si>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</si>
  <si>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</si>
  <si>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</si>
  <si>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</si>
  <si>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</si>
  <si>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</si>
  <si>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</si>
  <si>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</si>
  <si>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</si>
  <si>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</si>
  <si>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</si>
  <si>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 xml:space="preserve">AllowanceType = 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</si>
  <si>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</si>
  <si>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</si>
  <si>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</si>
  <si>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</si>
  <si>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</si>
  <si>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</si>
  <si>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</si>
  <si>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</si>
  <si>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</si>
  <si>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</si>
  <si>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</si>
  <si>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</si>
  <si>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</si>
  <si>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</si>
  <si>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</si>
  <si>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</si>
  <si>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</si>
  <si>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</si>
  <si>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</si>
  <si>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</si>
  <si>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</si>
  <si>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</si>
  <si>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</si>
  <si>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</si>
  <si>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</si>
  <si>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</si>
  <si>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</si>
  <si>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</si>
  <si>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</si>
  <si>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</si>
  <si>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</si>
  <si>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</si>
  <si>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</si>
  <si>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</si>
  <si>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</si>
  <si>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</si>
  <si>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</si>
  <si>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</si>
  <si>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</si>
  <si>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</si>
  <si>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 xml:space="preserve">Convention Center - Audience Seating 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</si>
  <si>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</si>
  <si>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</si>
  <si>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</si>
  <si>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</si>
  <si>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</si>
  <si>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</si>
  <si>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</si>
  <si>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</si>
  <si>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</si>
  <si>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</si>
  <si>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</si>
  <si>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</si>
  <si>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</si>
  <si>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</si>
  <si>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</si>
  <si>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</si>
  <si>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</si>
  <si>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</si>
  <si>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</si>
  <si>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</si>
  <si>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</si>
  <si>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</si>
  <si>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</si>
  <si>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</si>
  <si>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</si>
  <si>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</si>
  <si>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</si>
  <si>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</si>
  <si>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</si>
  <si>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</si>
  <si>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</si>
  <si>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</si>
  <si>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</si>
  <si>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</si>
  <si>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</si>
  <si>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</si>
  <si>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</si>
  <si>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</si>
  <si>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</si>
  <si>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</si>
  <si>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</si>
  <si>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</si>
  <si>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</si>
  <si>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</si>
  <si>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</si>
  <si>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</si>
  <si>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</si>
  <si>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</si>
  <si>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</si>
  <si>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</si>
  <si>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</si>
  <si>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</si>
  <si>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</si>
  <si>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</si>
  <si>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</si>
  <si>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</si>
  <si>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</si>
  <si>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</si>
  <si>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</si>
  <si>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</si>
  <si>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</si>
  <si>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</si>
  <si>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</si>
  <si>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</si>
  <si>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</si>
  <si>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</si>
  <si>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</si>
  <si>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 xml:space="preserve">DaylitLum = </t>
  </si>
  <si>
    <t>TABLE PAFs</t>
  </si>
  <si>
    <t>ParkingGarageATMLighting</t>
  </si>
  <si>
    <t>Modify to support 2016 (and future) efficiency requirements based on Proj:StdsVersion</t>
  </si>
  <si>
    <r>
      <t>UnitaryACHPMinEffReq:EER(</t>
    </r>
    <r>
      <rPr>
        <sz val="11"/>
        <color rgb="FFFF0000"/>
        <rFont val="Calibri"/>
        <family val="2"/>
        <scheme val="minor"/>
      </rPr>
      <t>StandardsVersion=Proj:StdsVersion</t>
    </r>
    <r>
      <rPr>
        <sz val="11"/>
        <color theme="1"/>
        <rFont val="Calibri"/>
        <family val="2"/>
        <scheme val="minor"/>
      </rPr>
      <t>,Category = "AC", SubCategory = "CRAC", CondenserType = "Air", SizeCategory = 80000)</t>
    </r>
  </si>
  <si>
    <t>StandardsVersion</t>
  </si>
  <si>
    <t>Compliance2016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</si>
  <si>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</si>
  <si>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</si>
  <si>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</si>
  <si>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</si>
  <si>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</si>
  <si>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</si>
  <si>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</si>
  <si>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</si>
  <si>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</si>
  <si>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</si>
  <si>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</si>
  <si>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</si>
  <si>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</si>
  <si>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&lt;45000</t>
  </si>
  <si>
    <t>Split1Phase</t>
  </si>
  <si>
    <t>Packaged1Phase</t>
  </si>
  <si>
    <t>COP47</t>
  </si>
  <si>
    <t>COP17</t>
  </si>
  <si>
    <t>Exercise Room</t>
  </si>
  <si>
    <t>Gymnasium/Sports Arena</t>
  </si>
  <si>
    <t>Nurseries for Children - Day Care</t>
  </si>
  <si>
    <t>Unleased Tenant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</si>
</sst>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</cellStyleXfs>
  <cellXfs count="34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4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Fill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3" borderId="0" xfId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164" fontId="8" fillId="3" borderId="0" xfId="1" applyNumberFormat="1" applyAlignment="1">
      <alignment horizontal="left" vertical="center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/>
    </xf>
    <xf numFmtId="0" fontId="1" fillId="0" borderId="0" xfId="0" applyFont="1"/>
    <xf numFmtId="0" fontId="26" fillId="0" borderId="0" xfId="0" applyFont="1"/>
    <xf numFmtId="0" fontId="0" fillId="0" borderId="0" xfId="0" applyFont="1" applyBorder="1"/>
    <xf numFmtId="0" fontId="0" fillId="0" borderId="0" xfId="0" applyBorder="1"/>
    <xf numFmtId="2" fontId="0" fillId="0" borderId="0" xfId="0" applyNumberFormat="1" applyBorder="1"/>
    <xf numFmtId="0" fontId="0" fillId="0" borderId="0" xfId="0" quotePrefix="1" applyBorder="1"/>
    <xf numFmtId="0" fontId="0" fillId="0" borderId="0" xfId="0" applyFont="1" applyFill="1" applyBorder="1"/>
    <xf numFmtId="0" fontId="2" fillId="0" borderId="0" xfId="0" applyFont="1" applyFill="1" applyAlignment="1">
      <alignment horizontal="left"/>
    </xf>
    <xf numFmtId="2" fontId="2" fillId="0" borderId="0" xfId="0" applyNumberFormat="1" applyFont="1" applyFill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 applyAlignment="1"/>
    <xf numFmtId="2" fontId="2" fillId="0" borderId="0" xfId="0" applyNumberFormat="1" applyFont="1" applyFill="1" applyAlignment="1"/>
    <xf numFmtId="2" fontId="0" fillId="0" borderId="0" xfId="0" applyNumberFormat="1" applyAlignment="1"/>
    <xf numFmtId="164" fontId="0" fillId="0" borderId="0" xfId="0" applyNumberFormat="1" applyAlignment="1"/>
    <xf numFmtId="164" fontId="2" fillId="0" borderId="0" xfId="0" applyNumberFormat="1" applyFont="1" applyFill="1" applyAlignment="1"/>
    <xf numFmtId="2" fontId="8" fillId="0" borderId="0" xfId="1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2" fontId="8" fillId="3" borderId="0" xfId="1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2" fontId="28" fillId="0" borderId="0" xfId="0" applyNumberFormat="1" applyFont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Font="1" applyAlignment="1">
      <alignment horizontal="left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wrapText="1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0" xfId="0" applyNumberFormat="1" applyBorder="1" applyAlignment="1">
      <alignment horizontal="left"/>
    </xf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0" fontId="28" fillId="0" borderId="0" xfId="0" applyFont="1" applyBorder="1"/>
    <xf numFmtId="2" fontId="28" fillId="0" borderId="0" xfId="0" applyNumberFormat="1" applyFont="1" applyBorder="1" applyAlignment="1">
      <alignment horizontal="left"/>
    </xf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19" xfId="0" applyFill="1" applyBorder="1" applyAlignment="1">
      <alignment horizontal="left"/>
    </xf>
    <xf numFmtId="0" fontId="0" fillId="0" borderId="24" xfId="0" applyBorder="1"/>
    <xf numFmtId="0" fontId="0" fillId="0" borderId="25" xfId="0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13" xfId="0" applyFill="1" applyBorder="1"/>
    <xf numFmtId="0" fontId="0" fillId="0" borderId="0" xfId="0" applyFill="1"/>
    <xf numFmtId="0" fontId="0" fillId="0" borderId="11" xfId="0" applyFill="1" applyBorder="1"/>
    <xf numFmtId="0" fontId="0" fillId="0" borderId="22" xfId="0" applyBorder="1"/>
    <xf numFmtId="0" fontId="2" fillId="0" borderId="14" xfId="0" applyFont="1" applyFill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0" xfId="0" applyNumberFormat="1" applyFill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Fill="1" applyBorder="1" applyAlignment="1"/>
    <xf numFmtId="2" fontId="2" fillId="0" borderId="11" xfId="1" applyNumberFormat="1" applyFont="1" applyFill="1" applyBorder="1" applyAlignment="1"/>
    <xf numFmtId="2" fontId="0" fillId="0" borderId="22" xfId="0" applyNumberFormat="1" applyBorder="1" applyAlignment="1"/>
    <xf numFmtId="2" fontId="0" fillId="0" borderId="0" xfId="0" applyNumberFormat="1" applyBorder="1" applyAlignment="1"/>
    <xf numFmtId="2" fontId="0" fillId="0" borderId="14" xfId="0" applyNumberFormat="1" applyBorder="1" applyAlignment="1"/>
    <xf numFmtId="2" fontId="0" fillId="0" borderId="11" xfId="0" applyNumberFormat="1" applyBorder="1" applyAlignment="1"/>
    <xf numFmtId="2" fontId="0" fillId="0" borderId="13" xfId="0" applyNumberFormat="1" applyBorder="1" applyAlignment="1"/>
    <xf numFmtId="2" fontId="0" fillId="0" borderId="21" xfId="0" applyNumberFormat="1" applyBorder="1" applyAlignment="1"/>
    <xf numFmtId="2" fontId="2" fillId="0" borderId="21" xfId="0" applyNumberFormat="1" applyFont="1" applyFill="1" applyBorder="1" applyAlignment="1"/>
    <xf numFmtId="2" fontId="2" fillId="0" borderId="22" xfId="0" applyNumberFormat="1" applyFont="1" applyBorder="1" applyAlignment="1"/>
    <xf numFmtId="2" fontId="2" fillId="0" borderId="22" xfId="0" applyNumberFormat="1" applyFont="1" applyFill="1" applyBorder="1" applyAlignment="1"/>
    <xf numFmtId="2" fontId="2" fillId="0" borderId="0" xfId="0" applyNumberFormat="1" applyFont="1" applyBorder="1" applyAlignment="1"/>
    <xf numFmtId="2" fontId="2" fillId="0" borderId="0" xfId="0" applyNumberFormat="1" applyFont="1" applyFill="1" applyBorder="1" applyAlignment="1"/>
    <xf numFmtId="2" fontId="2" fillId="0" borderId="11" xfId="0" applyNumberFormat="1" applyFont="1" applyBorder="1" applyAlignment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 applyBorder="1"/>
    <xf numFmtId="0" fontId="0" fillId="35" borderId="0" xfId="0" applyFill="1" applyBorder="1"/>
    <xf numFmtId="0" fontId="0" fillId="0" borderId="0" xfId="0" applyFill="1" applyBorder="1"/>
    <xf numFmtId="0" fontId="0" fillId="36" borderId="11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Fill="1" applyBorder="1" applyAlignment="1">
      <alignment horizontal="left"/>
    </xf>
    <xf numFmtId="1" fontId="2" fillId="0" borderId="22" xfId="0" applyNumberFormat="1" applyFont="1" applyBorder="1" applyAlignment="1"/>
    <xf numFmtId="1" fontId="2" fillId="0" borderId="0" xfId="0" applyNumberFormat="1" applyFont="1" applyBorder="1" applyAlignment="1"/>
    <xf numFmtId="1" fontId="2" fillId="0" borderId="0" xfId="0" applyNumberFormat="1" applyFont="1" applyFill="1" applyBorder="1" applyAlignment="1"/>
    <xf numFmtId="1" fontId="0" fillId="0" borderId="0" xfId="0" applyNumberFormat="1" applyBorder="1" applyAlignment="1"/>
    <xf numFmtId="1" fontId="0" fillId="0" borderId="14" xfId="0" applyNumberFormat="1" applyBorder="1" applyAlignment="1"/>
    <xf numFmtId="1" fontId="0" fillId="0" borderId="22" xfId="0" applyNumberFormat="1" applyBorder="1" applyAlignment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22" xfId="0" applyNumberFormat="1" applyFont="1" applyFill="1" applyBorder="1" applyAlignment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0" xfId="0" applyNumberFormat="1" applyFont="1" applyFill="1" applyBorder="1" applyAlignment="1">
      <alignment horizontal="left"/>
    </xf>
    <xf numFmtId="2" fontId="2" fillId="0" borderId="14" xfId="0" applyNumberFormat="1" applyFont="1" applyFill="1" applyBorder="1" applyAlignment="1">
      <alignment horizontal="left"/>
    </xf>
    <xf numFmtId="1" fontId="2" fillId="0" borderId="23" xfId="0" applyNumberFormat="1" applyFont="1" applyBorder="1" applyAlignment="1"/>
    <xf numFmtId="1" fontId="2" fillId="0" borderId="17" xfId="0" applyNumberFormat="1" applyFont="1" applyBorder="1" applyAlignment="1"/>
    <xf numFmtId="1" fontId="2" fillId="0" borderId="17" xfId="0" applyNumberFormat="1" applyFont="1" applyFill="1" applyBorder="1" applyAlignment="1"/>
    <xf numFmtId="1" fontId="0" fillId="0" borderId="17" xfId="0" applyNumberFormat="1" applyBorder="1" applyAlignment="1"/>
    <xf numFmtId="1" fontId="0" fillId="0" borderId="15" xfId="0" applyNumberFormat="1" applyBorder="1" applyAlignment="1"/>
    <xf numFmtId="1" fontId="0" fillId="0" borderId="23" xfId="0" applyNumberFormat="1" applyBorder="1" applyAlignment="1"/>
    <xf numFmtId="2" fontId="2" fillId="0" borderId="21" xfId="1" applyNumberFormat="1" applyFont="1" applyFill="1" applyBorder="1" applyAlignment="1"/>
    <xf numFmtId="2" fontId="2" fillId="0" borderId="21" xfId="0" applyNumberFormat="1" applyFont="1" applyBorder="1" applyAlignment="1"/>
    <xf numFmtId="1" fontId="0" fillId="0" borderId="0" xfId="0" applyNumberFormat="1" applyBorder="1"/>
    <xf numFmtId="1" fontId="0" fillId="0" borderId="22" xfId="0" applyNumberFormat="1" applyBorder="1"/>
    <xf numFmtId="1" fontId="0" fillId="0" borderId="14" xfId="0" applyNumberFormat="1" applyBorder="1"/>
    <xf numFmtId="1" fontId="0" fillId="0" borderId="19" xfId="0" applyNumberFormat="1" applyBorder="1"/>
    <xf numFmtId="2" fontId="0" fillId="0" borderId="11" xfId="0" applyNumberFormat="1" applyFill="1" applyBorder="1"/>
    <xf numFmtId="1" fontId="0" fillId="0" borderId="20" xfId="0" applyNumberFormat="1" applyBorder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29" fillId="0" borderId="0" xfId="0" applyFont="1" applyBorder="1"/>
    <xf numFmtId="0" fontId="15" fillId="5" borderId="0" xfId="8"/>
    <xf numFmtId="0" fontId="2" fillId="0" borderId="0" xfId="0" applyFont="1" applyFill="1" applyAlignment="1"/>
    <xf numFmtId="1" fontId="2" fillId="0" borderId="0" xfId="0" applyNumberFormat="1" applyFont="1" applyFill="1" applyAlignment="1"/>
    <xf numFmtId="1" fontId="0" fillId="0" borderId="0" xfId="0" applyNumberForma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Border="1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Fill="1" applyBorder="1" applyAlignment="1">
      <alignment horizontal="center"/>
    </xf>
    <xf numFmtId="165" fontId="0" fillId="0" borderId="0" xfId="0" applyNumberFormat="1"/>
    <xf numFmtId="0" fontId="8" fillId="3" borderId="0" xfId="1" applyAlignment="1">
      <alignment horizontal="right" vertical="center"/>
    </xf>
    <xf numFmtId="164" fontId="8" fillId="3" borderId="0" xfId="1" applyNumberFormat="1" applyAlignment="1">
      <alignment horizontal="right" vertical="center"/>
    </xf>
    <xf numFmtId="0" fontId="8" fillId="3" borderId="0" xfId="1" applyAlignment="1">
      <alignment horizontal="right" vertical="center" wrapText="1"/>
    </xf>
    <xf numFmtId="2" fontId="2" fillId="37" borderId="0" xfId="0" applyNumberFormat="1" applyFont="1" applyFill="1" applyAlignment="1">
      <alignment horizontal="left"/>
    </xf>
    <xf numFmtId="164" fontId="0" fillId="37" borderId="0" xfId="0" applyNumberFormat="1" applyFill="1" applyAlignment="1">
      <alignment horizontal="right" vertical="center"/>
    </xf>
    <xf numFmtId="0" fontId="0" fillId="37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0</xdr:row>
          <xdr:rowOff>180975</xdr:rowOff>
        </xdr:from>
        <xdr:to>
          <xdr:col>11</xdr:col>
          <xdr:colOff>2095500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</xdr:row>
          <xdr:rowOff>180975</xdr:rowOff>
        </xdr:from>
        <xdr:to>
          <xdr:col>4</xdr:col>
          <xdr:colOff>657225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</xdr:colOff>
          <xdr:row>1</xdr:row>
          <xdr:rowOff>104775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76200</xdr:rowOff>
        </xdr:from>
        <xdr:to>
          <xdr:col>4</xdr:col>
          <xdr:colOff>866775</xdr:colOff>
          <xdr:row>4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BECC-Com\CBECC-Com13\CBECC-Com_trunk\RulesetDev\Rulesets\CEC%202013%20Nonres\Rules\Tables\360%20Ruleset%20Tables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"/>
      <sheetName val="2013StandardTableList"/>
      <sheetName val="LtgInputRestrictions_T24N"/>
      <sheetName val="LtgInputRestrictions_S901G"/>
      <sheetName val="PowerAdjustmentFactors"/>
      <sheetName val="PowerAdjustmentFactors_S901G"/>
      <sheetName val="AreaCategoryLPA"/>
      <sheetName val="TailoredMethodLPA"/>
      <sheetName val="IlluminanceLevelLPD"/>
      <sheetName val="LightHeatGainDistribution"/>
      <sheetName val="DayltCtrlParms"/>
      <sheetName val="FenConsInputReqs_T24N"/>
      <sheetName val="FenConsInputReqs_S901G"/>
      <sheetName val="DefaultFenUFactors_T24N"/>
      <sheetName val="DefaultFenestrationSHGC_T24N"/>
      <sheetName val="DefaultVertFenPerf_S901G"/>
      <sheetName val="DefaultSkyltUFactors_S901G"/>
      <sheetName val="DefaultSkyltSHGC_S901G"/>
      <sheetName val="BaseVerticalFenPerf_T24N"/>
      <sheetName val="BaseSkylightPerf_T24N"/>
      <sheetName val="BaselineFenPerf_S901G"/>
      <sheetName val="NA6FenestrationUFactorCoeff"/>
      <sheetName val="NA6FenestrationVTf_T24N"/>
      <sheetName val="AltFenPerformance"/>
      <sheetName val="BaseOpaqueEnvEffRValue"/>
      <sheetName val="UnitaryAC-HPMinEffReq_Old"/>
      <sheetName val="UnitaryAC-HPMinEffReq_New"/>
      <sheetName val="ChillerMinEffReq"/>
      <sheetName val="Sheet3"/>
    </sheetNames>
    <sheetDataSet>
      <sheetData sheetId="0">
        <row r="4">
          <cell r="B4" t="str">
            <v>NotStarted</v>
          </cell>
        </row>
        <row r="5">
          <cell r="B5" t="str">
            <v>Started</v>
          </cell>
        </row>
        <row r="6">
          <cell r="B6" t="str">
            <v>InReview</v>
          </cell>
        </row>
        <row r="7">
          <cell r="B7" t="str">
            <v>Completed</v>
          </cell>
        </row>
        <row r="8">
          <cell r="B8" t="str">
            <v>NotUsed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7" customWidth="1"/>
  </cols>
  <sheetData>
    <row r="3" spans="2:2" x14ac:dyDescent="0.25">
      <c r="B3" s="43" t="s">
        <v>319</v>
      </c>
    </row>
    <row r="4" spans="2:2" x14ac:dyDescent="0.25">
      <c r="B4" s="2" t="s">
        <v>329</v>
      </c>
    </row>
    <row r="5" spans="2:2" x14ac:dyDescent="0.25">
      <c r="B5" s="2" t="s">
        <v>316</v>
      </c>
    </row>
    <row r="6" spans="2:2" x14ac:dyDescent="0.25">
      <c r="B6" s="2" t="s">
        <v>317</v>
      </c>
    </row>
    <row r="7" spans="2:2" x14ac:dyDescent="0.25">
      <c r="B7" s="2" t="s">
        <v>318</v>
      </c>
    </row>
    <row r="8" spans="2:2" x14ac:dyDescent="0.25">
      <c r="B8" s="2" t="s">
        <v>321</v>
      </c>
    </row>
    <row r="10" spans="2:2" x14ac:dyDescent="0.25">
      <c r="B10" s="17" t="s">
        <v>320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92"/>
  <sheetViews>
    <sheetView zoomScale="85" zoomScaleNormal="85" workbookViewId="0">
      <pane ySplit="5" topLeftCell="A6" activePane="bottomLeft" state="frozen"/>
      <selection pane="bottomLeft" activeCell="C51" sqref="C51"/>
    </sheetView>
  </sheetViews>
  <sheetFormatPr defaultRowHeight="18.75" x14ac:dyDescent="0.3"/>
  <cols>
    <col min="1" max="1" width="10.42578125" style="14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44"/>
    <col min="10" max="10" width="11.28515625" style="45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7" t="s">
        <v>232</v>
      </c>
      <c r="B5" s="46" t="s">
        <v>4</v>
      </c>
      <c r="C5" s="46" t="s">
        <v>1</v>
      </c>
      <c r="D5" s="46" t="s">
        <v>3</v>
      </c>
      <c r="E5" s="46" t="s">
        <v>2</v>
      </c>
      <c r="F5" s="46" t="s">
        <v>5</v>
      </c>
      <c r="G5" s="46" t="s">
        <v>6</v>
      </c>
      <c r="H5" s="46" t="s">
        <v>9</v>
      </c>
      <c r="I5" s="46" t="s">
        <v>0</v>
      </c>
      <c r="J5" s="46" t="s">
        <v>319</v>
      </c>
      <c r="K5" s="46" t="s">
        <v>1</v>
      </c>
      <c r="L5" s="46" t="s">
        <v>344</v>
      </c>
    </row>
    <row r="6" spans="1:12" s="3" customFormat="1" x14ac:dyDescent="0.25">
      <c r="A6" s="15"/>
      <c r="B6" s="3" t="s">
        <v>219</v>
      </c>
      <c r="C6" s="3" t="s">
        <v>220</v>
      </c>
      <c r="H6" s="3" t="s">
        <v>185</v>
      </c>
      <c r="J6" s="45" t="s">
        <v>321</v>
      </c>
    </row>
    <row r="7" spans="1:12" s="3" customFormat="1" x14ac:dyDescent="0.25">
      <c r="A7" s="15">
        <v>110</v>
      </c>
      <c r="J7" s="47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391</v>
      </c>
      <c r="G8" s="3" t="s">
        <v>11</v>
      </c>
      <c r="H8" s="3" t="s">
        <v>392</v>
      </c>
      <c r="I8" s="44" t="s">
        <v>393</v>
      </c>
      <c r="J8" s="48" t="s">
        <v>316</v>
      </c>
      <c r="K8" s="4" t="s">
        <v>379</v>
      </c>
    </row>
    <row r="9" spans="1:12" ht="30" x14ac:dyDescent="0.3">
      <c r="B9" s="4" t="s">
        <v>390</v>
      </c>
      <c r="C9" s="3" t="s">
        <v>389</v>
      </c>
      <c r="D9" s="5">
        <v>2</v>
      </c>
      <c r="E9" s="5">
        <v>1</v>
      </c>
      <c r="F9" s="3" t="s">
        <v>28</v>
      </c>
      <c r="G9" s="3" t="s">
        <v>388</v>
      </c>
      <c r="H9" s="3" t="s">
        <v>392</v>
      </c>
      <c r="I9" s="44" t="s">
        <v>393</v>
      </c>
      <c r="J9" s="48" t="s">
        <v>316</v>
      </c>
      <c r="K9" s="4" t="s">
        <v>379</v>
      </c>
    </row>
    <row r="10" spans="1:12" ht="30" x14ac:dyDescent="0.3">
      <c r="B10" s="4" t="s">
        <v>13</v>
      </c>
      <c r="C10" s="3" t="s">
        <v>14</v>
      </c>
      <c r="D10" s="5">
        <v>3</v>
      </c>
      <c r="E10" s="5">
        <v>1</v>
      </c>
      <c r="F10" s="3" t="s">
        <v>28</v>
      </c>
      <c r="G10" s="3" t="s">
        <v>15</v>
      </c>
      <c r="H10" s="3" t="s">
        <v>330</v>
      </c>
      <c r="J10" s="45" t="s">
        <v>321</v>
      </c>
    </row>
    <row r="11" spans="1:12" ht="45" x14ac:dyDescent="0.3">
      <c r="B11" s="4" t="s">
        <v>16</v>
      </c>
      <c r="C11" s="3" t="s">
        <v>182</v>
      </c>
      <c r="D11" s="5">
        <v>2</v>
      </c>
      <c r="E11" s="5">
        <v>1</v>
      </c>
      <c r="F11" s="3" t="s">
        <v>28</v>
      </c>
      <c r="G11" s="3" t="s">
        <v>404</v>
      </c>
      <c r="H11" s="3" t="s">
        <v>403</v>
      </c>
      <c r="I11" s="44" t="s">
        <v>393</v>
      </c>
      <c r="J11" s="48" t="s">
        <v>316</v>
      </c>
      <c r="K11" s="21" t="s">
        <v>394</v>
      </c>
    </row>
    <row r="12" spans="1:12" ht="60" x14ac:dyDescent="0.3">
      <c r="B12" s="4" t="s">
        <v>27</v>
      </c>
      <c r="C12" s="3" t="s">
        <v>24</v>
      </c>
      <c r="D12" s="5">
        <v>4</v>
      </c>
      <c r="E12" s="5">
        <v>1</v>
      </c>
      <c r="F12" s="3" t="s">
        <v>23</v>
      </c>
      <c r="G12" s="3" t="s">
        <v>11</v>
      </c>
      <c r="H12" s="3" t="s">
        <v>405</v>
      </c>
      <c r="J12" s="45" t="s">
        <v>321</v>
      </c>
    </row>
    <row r="13" spans="1:12" ht="60" x14ac:dyDescent="0.3">
      <c r="B13" s="4" t="s">
        <v>26</v>
      </c>
      <c r="C13" s="3" t="s">
        <v>25</v>
      </c>
      <c r="D13" s="5">
        <v>4</v>
      </c>
      <c r="E13" s="5">
        <v>1</v>
      </c>
      <c r="F13" s="3" t="s">
        <v>23</v>
      </c>
      <c r="G13" s="3" t="s">
        <v>15</v>
      </c>
      <c r="H13" s="3" t="s">
        <v>405</v>
      </c>
      <c r="J13" s="45" t="s">
        <v>321</v>
      </c>
    </row>
    <row r="14" spans="1:12" x14ac:dyDescent="0.3">
      <c r="B14" s="4" t="s">
        <v>221</v>
      </c>
      <c r="C14" s="3" t="s">
        <v>222</v>
      </c>
      <c r="J14" s="45" t="s">
        <v>321</v>
      </c>
    </row>
    <row r="15" spans="1:12" ht="30" x14ac:dyDescent="0.3">
      <c r="B15" s="4" t="s">
        <v>17</v>
      </c>
      <c r="C15" s="3" t="s">
        <v>18</v>
      </c>
      <c r="D15" s="5">
        <v>2</v>
      </c>
      <c r="E15" s="5">
        <v>1</v>
      </c>
      <c r="F15" s="3" t="s">
        <v>10</v>
      </c>
      <c r="G15" s="3" t="s">
        <v>202</v>
      </c>
      <c r="H15" s="3" t="s">
        <v>406</v>
      </c>
      <c r="J15" s="45" t="s">
        <v>321</v>
      </c>
    </row>
    <row r="16" spans="1:12" ht="45" x14ac:dyDescent="0.3">
      <c r="B16" s="4" t="s">
        <v>19</v>
      </c>
      <c r="C16" s="3" t="s">
        <v>34</v>
      </c>
      <c r="D16" s="5">
        <v>3</v>
      </c>
      <c r="E16" s="5">
        <v>1</v>
      </c>
      <c r="F16" s="3" t="s">
        <v>29</v>
      </c>
      <c r="G16" s="3" t="s">
        <v>322</v>
      </c>
      <c r="H16" s="3" t="s">
        <v>330</v>
      </c>
      <c r="J16" s="45" t="s">
        <v>321</v>
      </c>
    </row>
    <row r="17" spans="1:11" ht="75" x14ac:dyDescent="0.3">
      <c r="B17" s="4" t="s">
        <v>30</v>
      </c>
      <c r="C17" s="3" t="s">
        <v>35</v>
      </c>
      <c r="D17" s="5">
        <v>4</v>
      </c>
      <c r="E17" s="5">
        <v>1</v>
      </c>
      <c r="F17" s="3" t="s">
        <v>175</v>
      </c>
      <c r="G17" s="3" t="s">
        <v>323</v>
      </c>
      <c r="H17" s="3" t="s">
        <v>330</v>
      </c>
      <c r="J17" s="45" t="s">
        <v>321</v>
      </c>
    </row>
    <row r="18" spans="1:11" ht="60" x14ac:dyDescent="0.3">
      <c r="B18" s="4" t="s">
        <v>31</v>
      </c>
      <c r="C18" s="3" t="s">
        <v>36</v>
      </c>
      <c r="D18" s="5">
        <v>2</v>
      </c>
      <c r="E18" s="5">
        <v>1</v>
      </c>
      <c r="F18" s="3" t="s">
        <v>28</v>
      </c>
      <c r="G18" s="3" t="s">
        <v>322</v>
      </c>
      <c r="H18" s="3" t="s">
        <v>330</v>
      </c>
      <c r="J18" s="45" t="s">
        <v>321</v>
      </c>
    </row>
    <row r="19" spans="1:11" ht="51" x14ac:dyDescent="0.3">
      <c r="B19" s="4" t="s">
        <v>20</v>
      </c>
      <c r="C19" s="3" t="s">
        <v>37</v>
      </c>
      <c r="D19" s="5">
        <v>2</v>
      </c>
      <c r="E19" s="5">
        <v>1</v>
      </c>
      <c r="F19" s="3" t="s">
        <v>28</v>
      </c>
      <c r="G19" s="3" t="s">
        <v>324</v>
      </c>
      <c r="H19" s="3" t="s">
        <v>406</v>
      </c>
      <c r="J19" s="45" t="s">
        <v>321</v>
      </c>
    </row>
    <row r="20" spans="1:11" ht="51" x14ac:dyDescent="0.3">
      <c r="B20" s="4" t="s">
        <v>21</v>
      </c>
      <c r="C20" s="3" t="s">
        <v>38</v>
      </c>
      <c r="D20" s="5">
        <v>3</v>
      </c>
      <c r="E20" s="5">
        <v>1</v>
      </c>
      <c r="F20" s="3" t="s">
        <v>22</v>
      </c>
      <c r="G20" s="3" t="s">
        <v>324</v>
      </c>
      <c r="H20" s="3" t="s">
        <v>406</v>
      </c>
      <c r="J20" s="45" t="s">
        <v>321</v>
      </c>
    </row>
    <row r="21" spans="1:11" x14ac:dyDescent="0.3">
      <c r="F21" s="6"/>
    </row>
    <row r="22" spans="1:11" ht="45" x14ac:dyDescent="0.3">
      <c r="B22" s="10" t="s">
        <v>32</v>
      </c>
      <c r="C22" s="11" t="s">
        <v>33</v>
      </c>
      <c r="D22" s="12">
        <v>3</v>
      </c>
      <c r="E22" s="12">
        <v>1</v>
      </c>
      <c r="F22" s="11" t="s">
        <v>233</v>
      </c>
      <c r="G22" s="11" t="s">
        <v>255</v>
      </c>
      <c r="H22" s="11" t="s">
        <v>509</v>
      </c>
      <c r="I22" s="44" t="s">
        <v>393</v>
      </c>
      <c r="J22" s="48" t="s">
        <v>317</v>
      </c>
      <c r="K22" s="10" t="s">
        <v>234</v>
      </c>
    </row>
    <row r="23" spans="1:11" ht="45" x14ac:dyDescent="0.3">
      <c r="B23" s="10" t="s">
        <v>336</v>
      </c>
      <c r="C23" s="11" t="s">
        <v>337</v>
      </c>
      <c r="D23" s="12">
        <v>3</v>
      </c>
      <c r="E23" s="12">
        <v>1</v>
      </c>
      <c r="F23" s="11" t="s">
        <v>338</v>
      </c>
      <c r="G23" s="11" t="s">
        <v>209</v>
      </c>
      <c r="H23" s="11" t="s">
        <v>509</v>
      </c>
      <c r="I23" s="22" t="s">
        <v>458</v>
      </c>
      <c r="J23" s="48" t="s">
        <v>317</v>
      </c>
      <c r="K23" s="10"/>
    </row>
    <row r="24" spans="1:11" ht="45" x14ac:dyDescent="0.3">
      <c r="B24" s="4" t="s">
        <v>40</v>
      </c>
      <c r="C24" s="3" t="s">
        <v>39</v>
      </c>
      <c r="D24" s="5">
        <v>3</v>
      </c>
      <c r="E24" s="5">
        <v>1</v>
      </c>
      <c r="F24" s="3" t="s">
        <v>41</v>
      </c>
      <c r="G24" s="3" t="s">
        <v>42</v>
      </c>
      <c r="H24" s="3" t="s">
        <v>184</v>
      </c>
      <c r="J24" s="48" t="s">
        <v>329</v>
      </c>
    </row>
    <row r="25" spans="1:11" ht="30" x14ac:dyDescent="0.3">
      <c r="B25" s="4" t="s">
        <v>43</v>
      </c>
      <c r="C25" s="3" t="s">
        <v>183</v>
      </c>
      <c r="D25" s="5">
        <v>1</v>
      </c>
      <c r="E25" s="5">
        <v>1</v>
      </c>
      <c r="F25" s="3" t="s">
        <v>176</v>
      </c>
      <c r="G25" s="3" t="s">
        <v>186</v>
      </c>
      <c r="H25" s="3" t="s">
        <v>185</v>
      </c>
      <c r="J25" s="45" t="s">
        <v>321</v>
      </c>
    </row>
    <row r="26" spans="1:11" ht="30" x14ac:dyDescent="0.3">
      <c r="B26" s="4" t="s">
        <v>44</v>
      </c>
      <c r="C26" s="3" t="s">
        <v>45</v>
      </c>
      <c r="H26" s="3" t="s">
        <v>185</v>
      </c>
      <c r="J26" s="45" t="s">
        <v>321</v>
      </c>
    </row>
    <row r="27" spans="1:11" x14ac:dyDescent="0.3">
      <c r="A27" s="14">
        <v>120</v>
      </c>
    </row>
    <row r="28" spans="1:11" x14ac:dyDescent="0.3">
      <c r="B28" s="4" t="s">
        <v>47</v>
      </c>
      <c r="C28" s="3" t="s">
        <v>46</v>
      </c>
      <c r="D28" s="5">
        <v>1</v>
      </c>
      <c r="E28" s="5">
        <v>1</v>
      </c>
      <c r="F28" s="3" t="s">
        <v>48</v>
      </c>
      <c r="G28" s="3" t="s">
        <v>181</v>
      </c>
      <c r="I28" s="44" t="s">
        <v>327</v>
      </c>
      <c r="J28" s="48" t="s">
        <v>316</v>
      </c>
      <c r="K28" s="4" t="s">
        <v>328</v>
      </c>
    </row>
    <row r="29" spans="1:11" ht="105" x14ac:dyDescent="0.3">
      <c r="B29" s="4" t="s">
        <v>49</v>
      </c>
      <c r="C29" s="3" t="s">
        <v>50</v>
      </c>
      <c r="D29" s="5">
        <v>5</v>
      </c>
      <c r="E29" s="5">
        <v>1</v>
      </c>
      <c r="F29" s="3" t="s">
        <v>177</v>
      </c>
      <c r="H29" s="3" t="s">
        <v>185</v>
      </c>
      <c r="J29" s="45" t="s">
        <v>321</v>
      </c>
    </row>
    <row r="30" spans="1:11" ht="30" x14ac:dyDescent="0.3">
      <c r="B30" s="4" t="s">
        <v>51</v>
      </c>
      <c r="C30" s="3" t="s">
        <v>52</v>
      </c>
      <c r="D30" s="5">
        <v>2</v>
      </c>
      <c r="E30" s="5">
        <v>1</v>
      </c>
      <c r="F30" s="3" t="s">
        <v>53</v>
      </c>
      <c r="G30" s="3" t="s">
        <v>54</v>
      </c>
      <c r="H30" s="3" t="s">
        <v>187</v>
      </c>
      <c r="J30" s="45" t="s">
        <v>321</v>
      </c>
      <c r="K30" s="21"/>
    </row>
    <row r="31" spans="1:11" ht="30" x14ac:dyDescent="0.3">
      <c r="B31" s="4" t="s">
        <v>55</v>
      </c>
      <c r="C31" s="3" t="s">
        <v>58</v>
      </c>
      <c r="D31" s="5">
        <v>2</v>
      </c>
      <c r="E31" s="5">
        <v>1</v>
      </c>
      <c r="F31" s="3" t="s">
        <v>56</v>
      </c>
      <c r="G31" s="3" t="s">
        <v>57</v>
      </c>
      <c r="H31" s="3" t="s">
        <v>187</v>
      </c>
      <c r="J31" s="45" t="s">
        <v>321</v>
      </c>
    </row>
    <row r="32" spans="1:11" ht="30" x14ac:dyDescent="0.3">
      <c r="B32" s="4" t="s">
        <v>59</v>
      </c>
      <c r="C32" s="3" t="s">
        <v>60</v>
      </c>
      <c r="D32" s="5">
        <v>1</v>
      </c>
      <c r="E32" s="5">
        <v>1</v>
      </c>
      <c r="F32" s="3" t="s">
        <v>61</v>
      </c>
      <c r="G32" s="3" t="s">
        <v>62</v>
      </c>
      <c r="H32" s="3" t="s">
        <v>187</v>
      </c>
      <c r="J32" s="45" t="s">
        <v>321</v>
      </c>
    </row>
    <row r="33" spans="1:12" x14ac:dyDescent="0.3">
      <c r="A33" s="14">
        <v>130</v>
      </c>
    </row>
    <row r="34" spans="1:12" ht="30" x14ac:dyDescent="0.3">
      <c r="B34" s="4" t="s">
        <v>63</v>
      </c>
      <c r="C34" s="3" t="s">
        <v>64</v>
      </c>
      <c r="D34" s="5">
        <v>1</v>
      </c>
      <c r="E34" s="5">
        <v>1</v>
      </c>
      <c r="F34" s="3" t="s">
        <v>65</v>
      </c>
      <c r="G34" s="3" t="s">
        <v>69</v>
      </c>
      <c r="H34" s="3" t="s">
        <v>187</v>
      </c>
      <c r="J34" s="45" t="s">
        <v>321</v>
      </c>
    </row>
    <row r="35" spans="1:12" ht="30" x14ac:dyDescent="0.3">
      <c r="B35" s="4" t="s">
        <v>66</v>
      </c>
      <c r="C35" s="3" t="s">
        <v>70</v>
      </c>
      <c r="D35" s="5">
        <v>2</v>
      </c>
      <c r="E35" s="5">
        <v>1</v>
      </c>
      <c r="F35" s="3" t="s">
        <v>67</v>
      </c>
      <c r="G35" s="3" t="s">
        <v>68</v>
      </c>
      <c r="H35" s="3" t="s">
        <v>185</v>
      </c>
      <c r="J35" s="45" t="s">
        <v>321</v>
      </c>
    </row>
    <row r="36" spans="1:12" ht="30" x14ac:dyDescent="0.3">
      <c r="B36" s="4" t="s">
        <v>71</v>
      </c>
      <c r="C36" s="3" t="s">
        <v>72</v>
      </c>
      <c r="D36" s="5">
        <v>2</v>
      </c>
      <c r="E36" s="5">
        <v>1</v>
      </c>
      <c r="F36" s="3" t="s">
        <v>67</v>
      </c>
      <c r="G36" s="3" t="s">
        <v>68</v>
      </c>
      <c r="H36" s="3" t="s">
        <v>185</v>
      </c>
      <c r="J36" s="45" t="s">
        <v>321</v>
      </c>
    </row>
    <row r="37" spans="1:12" ht="30" x14ac:dyDescent="0.3">
      <c r="B37" s="4" t="s">
        <v>71</v>
      </c>
      <c r="C37" s="3" t="s">
        <v>73</v>
      </c>
      <c r="D37" s="5">
        <v>2</v>
      </c>
      <c r="E37" s="5">
        <v>1</v>
      </c>
      <c r="F37" s="3" t="s">
        <v>67</v>
      </c>
      <c r="G37" s="3" t="s">
        <v>68</v>
      </c>
      <c r="H37" s="3" t="s">
        <v>185</v>
      </c>
      <c r="J37" s="45" t="s">
        <v>321</v>
      </c>
    </row>
    <row r="38" spans="1:12" ht="30" x14ac:dyDescent="0.3">
      <c r="B38" s="4" t="s">
        <v>74</v>
      </c>
      <c r="C38" s="3" t="s">
        <v>188</v>
      </c>
      <c r="H38" s="3" t="s">
        <v>185</v>
      </c>
      <c r="J38" s="45" t="s">
        <v>321</v>
      </c>
    </row>
    <row r="39" spans="1:12" ht="30" x14ac:dyDescent="0.3">
      <c r="B39" s="4" t="s">
        <v>75</v>
      </c>
      <c r="C39" s="3" t="s">
        <v>189</v>
      </c>
      <c r="H39" s="3" t="s">
        <v>185</v>
      </c>
      <c r="J39" s="45" t="s">
        <v>321</v>
      </c>
    </row>
    <row r="40" spans="1:12" x14ac:dyDescent="0.3">
      <c r="A40" s="14">
        <v>140</v>
      </c>
      <c r="B40" s="4"/>
    </row>
    <row r="41" spans="1:12" ht="45" x14ac:dyDescent="0.3">
      <c r="B41" s="4" t="s">
        <v>76</v>
      </c>
      <c r="C41" s="3" t="s">
        <v>77</v>
      </c>
      <c r="D41" s="5">
        <v>2</v>
      </c>
      <c r="E41" s="5">
        <v>1</v>
      </c>
      <c r="F41" s="3" t="s">
        <v>78</v>
      </c>
      <c r="G41" s="3" t="s">
        <v>79</v>
      </c>
      <c r="H41" s="3" t="s">
        <v>185</v>
      </c>
      <c r="J41" s="45" t="s">
        <v>321</v>
      </c>
    </row>
    <row r="42" spans="1:12" ht="30" x14ac:dyDescent="0.3">
      <c r="B42" s="4" t="s">
        <v>80</v>
      </c>
      <c r="C42" s="3" t="s">
        <v>190</v>
      </c>
      <c r="H42" s="3" t="s">
        <v>185</v>
      </c>
      <c r="J42" s="45" t="s">
        <v>321</v>
      </c>
    </row>
    <row r="43" spans="1:12" s="13" customFormat="1" ht="60" x14ac:dyDescent="0.3">
      <c r="A43" s="16"/>
      <c r="B43" s="10" t="s">
        <v>81</v>
      </c>
      <c r="C43" s="11" t="s">
        <v>246</v>
      </c>
      <c r="D43" s="12">
        <v>2</v>
      </c>
      <c r="E43" s="12">
        <v>1</v>
      </c>
      <c r="F43" s="11" t="s">
        <v>342</v>
      </c>
      <c r="G43" s="11" t="s">
        <v>408</v>
      </c>
      <c r="H43" s="11" t="s">
        <v>343</v>
      </c>
      <c r="I43" s="44" t="s">
        <v>393</v>
      </c>
      <c r="J43" s="48" t="s">
        <v>317</v>
      </c>
      <c r="K43" s="2" t="s">
        <v>360</v>
      </c>
    </row>
    <row r="44" spans="1:12" s="13" customFormat="1" ht="30" x14ac:dyDescent="0.3">
      <c r="A44" s="16"/>
      <c r="B44" s="10" t="s">
        <v>82</v>
      </c>
      <c r="C44" s="11" t="s">
        <v>85</v>
      </c>
      <c r="D44" s="12">
        <v>2</v>
      </c>
      <c r="E44" s="12">
        <v>2</v>
      </c>
      <c r="F44" s="11" t="s">
        <v>88</v>
      </c>
      <c r="G44" s="11" t="s">
        <v>89</v>
      </c>
      <c r="H44" s="11"/>
      <c r="I44" s="22"/>
      <c r="J44" s="48"/>
      <c r="K44" s="10"/>
    </row>
    <row r="45" spans="1:12" s="13" customFormat="1" ht="30" x14ac:dyDescent="0.3">
      <c r="A45" s="16"/>
      <c r="B45" s="10" t="s">
        <v>83</v>
      </c>
      <c r="C45" s="11" t="s">
        <v>198</v>
      </c>
      <c r="D45" s="12">
        <v>1</v>
      </c>
      <c r="E45" s="12">
        <v>1</v>
      </c>
      <c r="F45" s="11" t="s">
        <v>90</v>
      </c>
      <c r="G45" s="11" t="s">
        <v>180</v>
      </c>
      <c r="H45" s="11"/>
      <c r="I45" s="22"/>
      <c r="J45" s="45" t="s">
        <v>321</v>
      </c>
      <c r="K45" s="10"/>
    </row>
    <row r="46" spans="1:12" s="13" customFormat="1" ht="45" x14ac:dyDescent="0.3">
      <c r="A46" s="16"/>
      <c r="B46" s="10" t="s">
        <v>84</v>
      </c>
      <c r="C46" s="11" t="s">
        <v>197</v>
      </c>
      <c r="D46" s="12">
        <v>2</v>
      </c>
      <c r="E46" s="12">
        <v>1</v>
      </c>
      <c r="F46" s="11" t="s">
        <v>213</v>
      </c>
      <c r="G46" s="11" t="s">
        <v>91</v>
      </c>
      <c r="H46" s="11"/>
      <c r="I46" s="22" t="s">
        <v>315</v>
      </c>
      <c r="J46" s="48" t="s">
        <v>316</v>
      </c>
      <c r="K46" s="2" t="s">
        <v>407</v>
      </c>
      <c r="L46" s="2" t="s">
        <v>331</v>
      </c>
    </row>
    <row r="47" spans="1:12" s="13" customFormat="1" ht="75" x14ac:dyDescent="0.3">
      <c r="A47" s="16"/>
      <c r="B47" s="10" t="s">
        <v>92</v>
      </c>
      <c r="C47" s="11" t="s">
        <v>196</v>
      </c>
      <c r="D47" s="12">
        <v>1</v>
      </c>
      <c r="E47" s="12">
        <v>3</v>
      </c>
      <c r="F47" s="11" t="s">
        <v>215</v>
      </c>
      <c r="G47" s="11" t="s">
        <v>138</v>
      </c>
      <c r="H47" s="11" t="s">
        <v>518</v>
      </c>
      <c r="I47" s="44" t="s">
        <v>393</v>
      </c>
      <c r="J47" s="48" t="s">
        <v>317</v>
      </c>
      <c r="K47" s="2" t="s">
        <v>378</v>
      </c>
    </row>
    <row r="48" spans="1:12" s="13" customFormat="1" ht="45" x14ac:dyDescent="0.3">
      <c r="A48" s="16"/>
      <c r="B48" s="10" t="s">
        <v>140</v>
      </c>
      <c r="C48" s="11" t="s">
        <v>199</v>
      </c>
      <c r="D48" s="12">
        <v>1</v>
      </c>
      <c r="E48" s="12">
        <v>3</v>
      </c>
      <c r="F48" s="11" t="s">
        <v>214</v>
      </c>
      <c r="G48" s="11" t="s">
        <v>141</v>
      </c>
      <c r="H48" s="11" t="s">
        <v>519</v>
      </c>
      <c r="I48" s="44" t="s">
        <v>393</v>
      </c>
      <c r="J48" s="48" t="s">
        <v>317</v>
      </c>
      <c r="K48" s="21" t="s">
        <v>381</v>
      </c>
    </row>
    <row r="49" spans="1:12" s="13" customFormat="1" ht="45" x14ac:dyDescent="0.3">
      <c r="A49" s="16"/>
      <c r="B49" s="10" t="s">
        <v>93</v>
      </c>
      <c r="C49" s="11" t="s">
        <v>361</v>
      </c>
      <c r="D49" s="12">
        <v>3</v>
      </c>
      <c r="E49" s="12">
        <v>1</v>
      </c>
      <c r="F49" s="11" t="s">
        <v>87</v>
      </c>
      <c r="G49" s="11" t="s">
        <v>408</v>
      </c>
      <c r="H49" s="11"/>
      <c r="I49" s="44" t="s">
        <v>393</v>
      </c>
      <c r="J49" s="48" t="s">
        <v>317</v>
      </c>
      <c r="K49" s="2" t="s">
        <v>360</v>
      </c>
    </row>
    <row r="50" spans="1:12" s="13" customFormat="1" ht="45" x14ac:dyDescent="0.3">
      <c r="A50" s="16"/>
      <c r="B50" s="10" t="s">
        <v>95</v>
      </c>
      <c r="C50" s="11" t="s">
        <v>94</v>
      </c>
      <c r="D50" s="12">
        <v>2</v>
      </c>
      <c r="E50" s="12">
        <v>2</v>
      </c>
      <c r="F50" s="11" t="s">
        <v>88</v>
      </c>
      <c r="G50" s="11" t="s">
        <v>89</v>
      </c>
      <c r="H50" s="11"/>
      <c r="I50" s="22"/>
      <c r="J50" s="48" t="s">
        <v>329</v>
      </c>
      <c r="K50" s="10"/>
    </row>
    <row r="51" spans="1:12" s="13" customFormat="1" ht="45" x14ac:dyDescent="0.3">
      <c r="A51" s="16"/>
      <c r="B51" s="10" t="s">
        <v>96</v>
      </c>
      <c r="C51" s="11" t="s">
        <v>191</v>
      </c>
      <c r="D51" s="12">
        <v>2</v>
      </c>
      <c r="E51" s="12">
        <v>1</v>
      </c>
      <c r="F51" s="11" t="s">
        <v>210</v>
      </c>
      <c r="G51" s="11" t="s">
        <v>91</v>
      </c>
      <c r="H51" s="11"/>
      <c r="I51" s="22" t="s">
        <v>315</v>
      </c>
      <c r="J51" s="48" t="s">
        <v>316</v>
      </c>
      <c r="K51" s="2" t="s">
        <v>407</v>
      </c>
      <c r="L51" s="2" t="s">
        <v>331</v>
      </c>
    </row>
    <row r="52" spans="1:12" s="13" customFormat="1" ht="45" x14ac:dyDescent="0.3">
      <c r="A52" s="16"/>
      <c r="B52" s="10" t="s">
        <v>97</v>
      </c>
      <c r="C52" s="11" t="s">
        <v>192</v>
      </c>
      <c r="D52" s="12">
        <v>1</v>
      </c>
      <c r="E52" s="12">
        <v>3</v>
      </c>
      <c r="F52" s="11" t="s">
        <v>215</v>
      </c>
      <c r="G52" s="11" t="s">
        <v>138</v>
      </c>
      <c r="H52" s="11" t="s">
        <v>137</v>
      </c>
      <c r="I52" s="44" t="s">
        <v>393</v>
      </c>
      <c r="J52" s="48" t="s">
        <v>317</v>
      </c>
      <c r="K52" s="2" t="s">
        <v>378</v>
      </c>
    </row>
    <row r="53" spans="1:12" s="13" customFormat="1" ht="45" x14ac:dyDescent="0.3">
      <c r="A53" s="16"/>
      <c r="B53" s="10" t="s">
        <v>98</v>
      </c>
      <c r="C53" s="11" t="s">
        <v>193</v>
      </c>
      <c r="D53" s="12">
        <v>1</v>
      </c>
      <c r="E53" s="12">
        <v>3</v>
      </c>
      <c r="F53" s="11" t="s">
        <v>214</v>
      </c>
      <c r="G53" s="11" t="s">
        <v>142</v>
      </c>
      <c r="H53" s="11" t="s">
        <v>139</v>
      </c>
      <c r="I53" s="44" t="s">
        <v>393</v>
      </c>
      <c r="J53" s="48" t="s">
        <v>317</v>
      </c>
      <c r="K53" s="21" t="s">
        <v>381</v>
      </c>
    </row>
    <row r="54" spans="1:12" s="13" customFormat="1" ht="45" x14ac:dyDescent="0.3">
      <c r="A54" s="16"/>
      <c r="B54" s="10" t="s">
        <v>99</v>
      </c>
      <c r="C54" s="11" t="s">
        <v>362</v>
      </c>
      <c r="D54" s="12">
        <v>2</v>
      </c>
      <c r="E54" s="12">
        <v>1</v>
      </c>
      <c r="F54" s="11" t="s">
        <v>211</v>
      </c>
      <c r="G54" s="11" t="s">
        <v>408</v>
      </c>
      <c r="H54" s="11"/>
      <c r="I54" s="44" t="s">
        <v>393</v>
      </c>
      <c r="J54" s="48" t="s">
        <v>317</v>
      </c>
      <c r="K54" s="2" t="s">
        <v>360</v>
      </c>
    </row>
    <row r="55" spans="1:12" s="13" customFormat="1" ht="45" x14ac:dyDescent="0.3">
      <c r="A55" s="16"/>
      <c r="B55" s="10" t="s">
        <v>100</v>
      </c>
      <c r="C55" s="11" t="s">
        <v>104</v>
      </c>
      <c r="D55" s="12">
        <v>1</v>
      </c>
      <c r="E55" s="12">
        <v>2</v>
      </c>
      <c r="F55" s="11" t="s">
        <v>86</v>
      </c>
      <c r="G55" s="11" t="s">
        <v>89</v>
      </c>
      <c r="H55" s="11"/>
      <c r="I55" s="22"/>
      <c r="J55" s="48" t="s">
        <v>329</v>
      </c>
      <c r="K55" s="10"/>
    </row>
    <row r="56" spans="1:12" s="13" customFormat="1" ht="45" x14ac:dyDescent="0.3">
      <c r="A56" s="16"/>
      <c r="B56" s="10" t="s">
        <v>101</v>
      </c>
      <c r="C56" s="11" t="s">
        <v>195</v>
      </c>
      <c r="D56" s="12">
        <v>1</v>
      </c>
      <c r="E56" s="12">
        <v>1</v>
      </c>
      <c r="F56" s="11" t="s">
        <v>212</v>
      </c>
      <c r="G56" s="11" t="s">
        <v>91</v>
      </c>
      <c r="H56" s="11"/>
      <c r="I56" s="22" t="s">
        <v>315</v>
      </c>
      <c r="J56" s="48" t="s">
        <v>316</v>
      </c>
      <c r="K56" s="2" t="s">
        <v>407</v>
      </c>
      <c r="L56" s="2" t="s">
        <v>331</v>
      </c>
    </row>
    <row r="57" spans="1:12" s="13" customFormat="1" ht="45" x14ac:dyDescent="0.3">
      <c r="A57" s="16"/>
      <c r="B57" s="10" t="s">
        <v>102</v>
      </c>
      <c r="C57" s="11" t="s">
        <v>194</v>
      </c>
      <c r="D57" s="12">
        <v>1</v>
      </c>
      <c r="E57" s="12">
        <v>2</v>
      </c>
      <c r="F57" s="11" t="s">
        <v>217</v>
      </c>
      <c r="G57" s="11" t="s">
        <v>216</v>
      </c>
      <c r="H57" s="11"/>
      <c r="I57" s="44" t="s">
        <v>393</v>
      </c>
      <c r="J57" s="48" t="s">
        <v>316</v>
      </c>
      <c r="K57" s="2" t="s">
        <v>378</v>
      </c>
    </row>
    <row r="58" spans="1:12" s="13" customFormat="1" ht="45" x14ac:dyDescent="0.3">
      <c r="A58" s="16"/>
      <c r="B58" s="10" t="s">
        <v>103</v>
      </c>
      <c r="C58" s="11" t="s">
        <v>200</v>
      </c>
      <c r="D58" s="12">
        <v>2</v>
      </c>
      <c r="E58" s="12">
        <v>2</v>
      </c>
      <c r="F58" s="11" t="s">
        <v>218</v>
      </c>
      <c r="G58" s="11" t="s">
        <v>201</v>
      </c>
      <c r="H58" s="11" t="s">
        <v>376</v>
      </c>
      <c r="I58" s="44" t="s">
        <v>393</v>
      </c>
      <c r="J58" s="48" t="s">
        <v>316</v>
      </c>
      <c r="K58" s="21" t="s">
        <v>381</v>
      </c>
    </row>
    <row r="59" spans="1:12" ht="30" x14ac:dyDescent="0.3">
      <c r="B59" s="4" t="s">
        <v>105</v>
      </c>
      <c r="C59" s="3" t="s">
        <v>106</v>
      </c>
      <c r="D59" s="5">
        <v>1</v>
      </c>
      <c r="E59" s="5">
        <v>1</v>
      </c>
      <c r="F59" s="3" t="s">
        <v>90</v>
      </c>
      <c r="G59" s="3" t="s">
        <v>179</v>
      </c>
      <c r="H59" s="3" t="s">
        <v>185</v>
      </c>
      <c r="J59" s="45" t="s">
        <v>321</v>
      </c>
    </row>
    <row r="60" spans="1:12" ht="60" x14ac:dyDescent="0.3">
      <c r="B60" s="4" t="s">
        <v>108</v>
      </c>
      <c r="C60" s="3" t="s">
        <v>107</v>
      </c>
      <c r="D60" s="5">
        <v>1</v>
      </c>
      <c r="E60" s="5">
        <v>1</v>
      </c>
      <c r="F60" s="3" t="s">
        <v>109</v>
      </c>
      <c r="G60" s="3" t="s">
        <v>325</v>
      </c>
      <c r="J60" s="48" t="s">
        <v>329</v>
      </c>
    </row>
    <row r="61" spans="1:12" ht="30" x14ac:dyDescent="0.3">
      <c r="B61" s="4" t="s">
        <v>110</v>
      </c>
      <c r="C61" s="3" t="s">
        <v>111</v>
      </c>
      <c r="D61" s="5">
        <v>1</v>
      </c>
      <c r="E61" s="5">
        <v>2</v>
      </c>
      <c r="F61" s="3" t="s">
        <v>112</v>
      </c>
      <c r="G61" s="3" t="s">
        <v>113</v>
      </c>
      <c r="J61" s="48" t="s">
        <v>329</v>
      </c>
    </row>
    <row r="62" spans="1:12" x14ac:dyDescent="0.3">
      <c r="B62" s="4" t="s">
        <v>114</v>
      </c>
      <c r="C62" s="3" t="s">
        <v>115</v>
      </c>
      <c r="D62" s="5">
        <v>3</v>
      </c>
      <c r="E62" s="5">
        <v>1</v>
      </c>
      <c r="J62" s="48" t="s">
        <v>321</v>
      </c>
    </row>
    <row r="63" spans="1:12" ht="30" x14ac:dyDescent="0.3">
      <c r="B63" s="4" t="s">
        <v>116</v>
      </c>
      <c r="C63" s="3" t="s">
        <v>409</v>
      </c>
      <c r="D63" s="5">
        <v>4</v>
      </c>
      <c r="E63" s="5">
        <v>1</v>
      </c>
      <c r="F63" s="3" t="s">
        <v>117</v>
      </c>
      <c r="G63" s="3" t="s">
        <v>118</v>
      </c>
      <c r="I63" s="44" t="s">
        <v>458</v>
      </c>
      <c r="J63" s="48" t="s">
        <v>316</v>
      </c>
      <c r="K63" s="4" t="s">
        <v>410</v>
      </c>
    </row>
    <row r="64" spans="1:12" ht="30" x14ac:dyDescent="0.3">
      <c r="B64" s="4" t="s">
        <v>120</v>
      </c>
      <c r="C64" s="3" t="s">
        <v>119</v>
      </c>
      <c r="D64" s="5">
        <v>1</v>
      </c>
      <c r="E64" s="5">
        <v>1</v>
      </c>
      <c r="F64" s="3" t="s">
        <v>121</v>
      </c>
      <c r="G64" s="3" t="s">
        <v>122</v>
      </c>
      <c r="I64" s="44" t="s">
        <v>327</v>
      </c>
      <c r="J64" s="48" t="s">
        <v>316</v>
      </c>
      <c r="K64" s="4" t="s">
        <v>328</v>
      </c>
    </row>
    <row r="65" spans="1:11" ht="60" x14ac:dyDescent="0.3">
      <c r="B65" s="4" t="s">
        <v>124</v>
      </c>
      <c r="C65" s="3" t="s">
        <v>123</v>
      </c>
      <c r="D65" s="5">
        <v>3</v>
      </c>
      <c r="E65" s="5">
        <v>1</v>
      </c>
      <c r="F65" s="3" t="s">
        <v>126</v>
      </c>
      <c r="G65" s="3" t="s">
        <v>122</v>
      </c>
      <c r="H65" s="3" t="s">
        <v>203</v>
      </c>
      <c r="I65" s="44" t="s">
        <v>327</v>
      </c>
      <c r="J65" s="48" t="s">
        <v>316</v>
      </c>
      <c r="K65" s="4" t="s">
        <v>328</v>
      </c>
    </row>
    <row r="66" spans="1:11" ht="30" x14ac:dyDescent="0.3">
      <c r="B66" s="4" t="s">
        <v>459</v>
      </c>
      <c r="C66" s="3" t="s">
        <v>460</v>
      </c>
      <c r="D66" s="5">
        <v>1</v>
      </c>
      <c r="E66" s="5">
        <v>1</v>
      </c>
      <c r="F66" s="3" t="s">
        <v>461</v>
      </c>
      <c r="G66" s="3" t="s">
        <v>462</v>
      </c>
      <c r="I66" s="44" t="s">
        <v>458</v>
      </c>
      <c r="J66" s="48" t="s">
        <v>316</v>
      </c>
      <c r="K66" s="4" t="s">
        <v>445</v>
      </c>
    </row>
    <row r="67" spans="1:11" ht="152.25" x14ac:dyDescent="0.3">
      <c r="B67" s="4" t="s">
        <v>129</v>
      </c>
      <c r="C67" s="3" t="s">
        <v>127</v>
      </c>
      <c r="D67" s="5">
        <v>1</v>
      </c>
      <c r="E67" s="5">
        <v>4</v>
      </c>
      <c r="F67" s="3" t="s">
        <v>125</v>
      </c>
      <c r="G67" s="3" t="s">
        <v>326</v>
      </c>
      <c r="I67" s="44" t="s">
        <v>458</v>
      </c>
      <c r="J67" s="48" t="s">
        <v>316</v>
      </c>
      <c r="K67" s="4" t="s">
        <v>444</v>
      </c>
    </row>
    <row r="68" spans="1:11" ht="30" x14ac:dyDescent="0.3">
      <c r="B68" s="4" t="s">
        <v>130</v>
      </c>
      <c r="C68" s="3" t="s">
        <v>128</v>
      </c>
      <c r="D68" s="5">
        <v>1</v>
      </c>
      <c r="E68" s="5">
        <v>1</v>
      </c>
      <c r="F68" s="3" t="s">
        <v>204</v>
      </c>
      <c r="G68" s="3" t="s">
        <v>205</v>
      </c>
      <c r="H68" s="3" t="s">
        <v>465</v>
      </c>
      <c r="I68" s="44" t="s">
        <v>458</v>
      </c>
      <c r="J68" s="45" t="s">
        <v>463</v>
      </c>
    </row>
    <row r="69" spans="1:11" ht="150" x14ac:dyDescent="0.3">
      <c r="B69" s="4" t="s">
        <v>131</v>
      </c>
      <c r="C69" s="3" t="s">
        <v>132</v>
      </c>
      <c r="D69" s="5">
        <v>3</v>
      </c>
      <c r="E69" s="5">
        <v>1</v>
      </c>
      <c r="H69" s="3" t="s">
        <v>464</v>
      </c>
      <c r="I69" s="44" t="s">
        <v>458</v>
      </c>
      <c r="J69" s="45" t="s">
        <v>463</v>
      </c>
    </row>
    <row r="70" spans="1:11" ht="30" x14ac:dyDescent="0.3">
      <c r="B70" s="4" t="s">
        <v>133</v>
      </c>
      <c r="C70" s="3" t="s">
        <v>134</v>
      </c>
      <c r="D70" s="5">
        <v>2</v>
      </c>
      <c r="E70" s="5">
        <v>1</v>
      </c>
      <c r="F70" s="3" t="s">
        <v>231</v>
      </c>
      <c r="G70" s="3" t="s">
        <v>144</v>
      </c>
      <c r="H70" s="3" t="s">
        <v>230</v>
      </c>
      <c r="I70" s="44" t="s">
        <v>458</v>
      </c>
      <c r="J70" s="48" t="s">
        <v>316</v>
      </c>
      <c r="K70" s="4" t="s">
        <v>446</v>
      </c>
    </row>
    <row r="71" spans="1:11" ht="30" x14ac:dyDescent="0.3">
      <c r="B71" s="4" t="s">
        <v>136</v>
      </c>
      <c r="C71" s="3" t="s">
        <v>135</v>
      </c>
      <c r="D71" s="5">
        <v>2</v>
      </c>
      <c r="E71" s="5">
        <v>1</v>
      </c>
      <c r="F71" s="3" t="s">
        <v>143</v>
      </c>
      <c r="G71" s="3" t="s">
        <v>144</v>
      </c>
      <c r="H71" s="3" t="s">
        <v>207</v>
      </c>
    </row>
    <row r="72" spans="1:11" ht="30" x14ac:dyDescent="0.3">
      <c r="B72" s="4" t="s">
        <v>145</v>
      </c>
      <c r="C72" s="3" t="s">
        <v>146</v>
      </c>
      <c r="D72" s="5">
        <v>2</v>
      </c>
      <c r="E72" s="5">
        <v>1</v>
      </c>
      <c r="F72" s="3" t="s">
        <v>143</v>
      </c>
      <c r="G72" s="3" t="s">
        <v>206</v>
      </c>
      <c r="H72" s="3" t="s">
        <v>207</v>
      </c>
    </row>
    <row r="73" spans="1:11" ht="30" x14ac:dyDescent="0.3">
      <c r="B73" s="4" t="s">
        <v>148</v>
      </c>
      <c r="C73" s="3" t="s">
        <v>147</v>
      </c>
      <c r="D73" s="5">
        <v>2</v>
      </c>
      <c r="E73" s="5">
        <v>1</v>
      </c>
      <c r="F73" s="3" t="s">
        <v>149</v>
      </c>
      <c r="G73" s="3" t="s">
        <v>150</v>
      </c>
    </row>
    <row r="74" spans="1:11" x14ac:dyDescent="0.3">
      <c r="A74" s="14">
        <v>141</v>
      </c>
      <c r="B74" s="4"/>
    </row>
    <row r="75" spans="1:11" ht="45" x14ac:dyDescent="0.3">
      <c r="B75" s="4" t="s">
        <v>151</v>
      </c>
      <c r="C75" s="3" t="s">
        <v>152</v>
      </c>
      <c r="F75" s="3" t="s">
        <v>153</v>
      </c>
      <c r="G75" s="3" t="s">
        <v>154</v>
      </c>
      <c r="H75" s="3" t="s">
        <v>208</v>
      </c>
    </row>
    <row r="76" spans="1:11" ht="30" x14ac:dyDescent="0.3">
      <c r="B76" s="4" t="s">
        <v>155</v>
      </c>
      <c r="C76" s="3" t="s">
        <v>77</v>
      </c>
      <c r="D76" s="5">
        <v>2</v>
      </c>
      <c r="E76" s="5">
        <v>1</v>
      </c>
      <c r="F76" s="3" t="s">
        <v>156</v>
      </c>
      <c r="G76" s="3" t="s">
        <v>157</v>
      </c>
      <c r="H76" s="3" t="s">
        <v>229</v>
      </c>
    </row>
    <row r="77" spans="1:11" ht="30" x14ac:dyDescent="0.3">
      <c r="B77" s="4" t="s">
        <v>158</v>
      </c>
      <c r="C77" s="3" t="s">
        <v>159</v>
      </c>
      <c r="D77" s="5">
        <v>2</v>
      </c>
      <c r="E77" s="5">
        <v>2</v>
      </c>
      <c r="F77" s="3" t="s">
        <v>178</v>
      </c>
      <c r="G77" s="3" t="s">
        <v>160</v>
      </c>
      <c r="H77" s="3" t="s">
        <v>208</v>
      </c>
    </row>
    <row r="78" spans="1:11" ht="30" x14ac:dyDescent="0.3">
      <c r="B78" s="4" t="s">
        <v>161</v>
      </c>
      <c r="C78" s="3" t="s">
        <v>162</v>
      </c>
      <c r="H78" s="3" t="s">
        <v>185</v>
      </c>
    </row>
    <row r="79" spans="1:11" x14ac:dyDescent="0.3">
      <c r="B79" s="4" t="s">
        <v>163</v>
      </c>
      <c r="C79" s="3" t="s">
        <v>165</v>
      </c>
      <c r="H79" s="3" t="s">
        <v>185</v>
      </c>
    </row>
    <row r="80" spans="1:11" ht="30" x14ac:dyDescent="0.3">
      <c r="B80" s="4" t="s">
        <v>164</v>
      </c>
      <c r="C80" s="3" t="s">
        <v>166</v>
      </c>
      <c r="H80" s="3" t="s">
        <v>185</v>
      </c>
    </row>
    <row r="81" spans="1:10" x14ac:dyDescent="0.3">
      <c r="A81" s="14">
        <v>150</v>
      </c>
      <c r="B81" s="4"/>
    </row>
    <row r="82" spans="1:10" ht="30" x14ac:dyDescent="0.3">
      <c r="B82" s="4" t="s">
        <v>168</v>
      </c>
      <c r="C82" s="3" t="s">
        <v>167</v>
      </c>
      <c r="H82" s="3" t="s">
        <v>185</v>
      </c>
    </row>
    <row r="83" spans="1:10" ht="30" x14ac:dyDescent="0.3">
      <c r="B83" s="4" t="s">
        <v>169</v>
      </c>
      <c r="C83" s="3" t="s">
        <v>172</v>
      </c>
      <c r="H83" s="3" t="s">
        <v>185</v>
      </c>
    </row>
    <row r="84" spans="1:10" ht="30" x14ac:dyDescent="0.3">
      <c r="B84" s="4" t="s">
        <v>170</v>
      </c>
      <c r="C84" s="3" t="s">
        <v>173</v>
      </c>
      <c r="H84" s="3" t="s">
        <v>185</v>
      </c>
    </row>
    <row r="85" spans="1:10" ht="30" x14ac:dyDescent="0.3">
      <c r="B85" s="4" t="s">
        <v>171</v>
      </c>
      <c r="C85" s="3" t="s">
        <v>174</v>
      </c>
      <c r="H85" s="3" t="s">
        <v>185</v>
      </c>
    </row>
    <row r="86" spans="1:10" x14ac:dyDescent="0.3">
      <c r="B86" s="4" t="s">
        <v>223</v>
      </c>
      <c r="C86" s="3" t="s">
        <v>224</v>
      </c>
      <c r="H86" s="3" t="s">
        <v>185</v>
      </c>
    </row>
    <row r="87" spans="1:10" ht="30" x14ac:dyDescent="0.3">
      <c r="B87" s="4" t="s">
        <v>225</v>
      </c>
      <c r="C87" s="3" t="s">
        <v>226</v>
      </c>
      <c r="H87" s="3" t="s">
        <v>185</v>
      </c>
    </row>
    <row r="88" spans="1:10" x14ac:dyDescent="0.3">
      <c r="B88" s="4" t="s">
        <v>227</v>
      </c>
      <c r="C88" s="3" t="s">
        <v>228</v>
      </c>
      <c r="H88" s="3" t="s">
        <v>185</v>
      </c>
    </row>
    <row r="89" spans="1:10" ht="30" x14ac:dyDescent="0.3">
      <c r="A89" s="14" t="s">
        <v>511</v>
      </c>
      <c r="B89" s="4" t="s">
        <v>510</v>
      </c>
      <c r="C89" s="3" t="s">
        <v>512</v>
      </c>
      <c r="D89" s="5">
        <v>2</v>
      </c>
      <c r="E89" s="5">
        <v>2</v>
      </c>
      <c r="F89" s="3" t="s">
        <v>513</v>
      </c>
      <c r="G89" s="3" t="s">
        <v>514</v>
      </c>
      <c r="I89" s="44" t="s">
        <v>458</v>
      </c>
      <c r="J89" s="45" t="s">
        <v>317</v>
      </c>
    </row>
    <row r="90" spans="1:10" ht="60" x14ac:dyDescent="0.3">
      <c r="B90" s="6" t="s">
        <v>516</v>
      </c>
      <c r="C90" s="3" t="s">
        <v>515</v>
      </c>
      <c r="D90" s="5">
        <v>2</v>
      </c>
      <c r="E90" s="5">
        <v>1</v>
      </c>
      <c r="F90" s="3" t="s">
        <v>517</v>
      </c>
      <c r="G90" s="3" t="s">
        <v>500</v>
      </c>
      <c r="I90" s="44" t="s">
        <v>458</v>
      </c>
      <c r="J90" s="45" t="s">
        <v>317</v>
      </c>
    </row>
    <row r="92" spans="1:10" x14ac:dyDescent="0.3">
      <c r="C92" s="119"/>
      <c r="D92" s="120"/>
      <c r="E92" s="120"/>
      <c r="F92" s="120"/>
    </row>
  </sheetData>
  <conditionalFormatting sqref="I64:K66 A23:K23 K52:K88 J57:K57 K6:K50 J52:K53 J48:K48 A6:J88">
    <cfRule type="expression" dxfId="13" priority="4">
      <formula>IF($J6="NotUsed",TRUE,FALSE)</formula>
    </cfRule>
  </conditionalFormatting>
  <conditionalFormatting sqref="L46">
    <cfRule type="expression" dxfId="12" priority="3">
      <formula>IF($J46="NotUsed",TRUE,FALSE)</formula>
    </cfRule>
  </conditionalFormatting>
  <conditionalFormatting sqref="K51">
    <cfRule type="expression" dxfId="11" priority="2">
      <formula>IF($J51="NotUsed",TRUE,FALSE)</formula>
    </cfRule>
  </conditionalFormatting>
  <conditionalFormatting sqref="K56">
    <cfRule type="expression" dxfId="10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outlinePr summaryRight="0"/>
  </sheetPr>
  <dimension ref="A1:U85"/>
  <sheetViews>
    <sheetView topLeftCell="B1" zoomScale="70" zoomScaleNormal="70" workbookViewId="0">
      <selection activeCell="B76" sqref="A76:XFD76"/>
    </sheetView>
  </sheetViews>
  <sheetFormatPr defaultRowHeight="15" outlineLevelCol="1" x14ac:dyDescent="0.25"/>
  <cols>
    <col min="1" max="2" width="9.140625" style="138"/>
    <col min="3" max="3" width="66.42578125" style="138" customWidth="1" collapsed="1"/>
    <col min="4" max="9" width="21.5703125" style="138" hidden="1" customWidth="1" outlineLevel="1"/>
    <col min="10" max="10" width="22.140625" style="138" hidden="1" customWidth="1" outlineLevel="1"/>
    <col min="11" max="11" width="34" style="138" hidden="1" customWidth="1" outlineLevel="1"/>
    <col min="12" max="19" width="34" style="138" customWidth="1"/>
    <col min="20" max="16384" width="9.140625" style="138"/>
  </cols>
  <sheetData>
    <row r="1" spans="1:19" x14ac:dyDescent="0.25">
      <c r="A1" s="138" t="s">
        <v>250</v>
      </c>
      <c r="B1" s="138" t="s">
        <v>924</v>
      </c>
    </row>
    <row r="2" spans="1:19" x14ac:dyDescent="0.25">
      <c r="A2" s="138" t="s">
        <v>250</v>
      </c>
    </row>
    <row r="3" spans="1:19" x14ac:dyDescent="0.25">
      <c r="A3" s="138" t="s">
        <v>250</v>
      </c>
      <c r="B3" s="138" t="s">
        <v>357</v>
      </c>
    </row>
    <row r="4" spans="1:19" x14ac:dyDescent="0.25">
      <c r="A4" s="138" t="s">
        <v>250</v>
      </c>
      <c r="C4" s="138" t="s">
        <v>800</v>
      </c>
    </row>
    <row r="5" spans="1:19" x14ac:dyDescent="0.25">
      <c r="A5" s="138" t="s">
        <v>250</v>
      </c>
    </row>
    <row r="6" spans="1:19" x14ac:dyDescent="0.25">
      <c r="A6" s="138" t="s">
        <v>250</v>
      </c>
      <c r="B6" s="138" t="s">
        <v>358</v>
      </c>
    </row>
    <row r="7" spans="1:19" x14ac:dyDescent="0.25">
      <c r="A7" s="138" t="s">
        <v>250</v>
      </c>
      <c r="C7" s="138" t="s">
        <v>263</v>
      </c>
      <c r="D7" s="138" t="s">
        <v>264</v>
      </c>
      <c r="E7" s="138" t="s">
        <v>265</v>
      </c>
    </row>
    <row r="8" spans="1:19" x14ac:dyDescent="0.25">
      <c r="A8" s="138" t="s">
        <v>250</v>
      </c>
      <c r="B8" s="141"/>
      <c r="C8" s="144">
        <v>42160</v>
      </c>
      <c r="D8" s="145" t="s">
        <v>411</v>
      </c>
      <c r="E8" s="138" t="s">
        <v>801</v>
      </c>
    </row>
    <row r="9" spans="1:19" x14ac:dyDescent="0.25">
      <c r="A9" s="138" t="s">
        <v>250</v>
      </c>
      <c r="B9" s="141"/>
      <c r="C9" s="144"/>
      <c r="D9" s="145"/>
    </row>
    <row r="10" spans="1:19" x14ac:dyDescent="0.25">
      <c r="A10" s="138" t="s">
        <v>250</v>
      </c>
      <c r="B10" s="141"/>
      <c r="C10" s="144"/>
    </row>
    <row r="11" spans="1:19" x14ac:dyDescent="0.25">
      <c r="A11" s="138" t="s">
        <v>250</v>
      </c>
      <c r="B11" s="138" t="s">
        <v>267</v>
      </c>
    </row>
    <row r="12" spans="1:19" x14ac:dyDescent="0.25">
      <c r="A12" s="138" t="s">
        <v>250</v>
      </c>
      <c r="C12" s="138" t="s">
        <v>804</v>
      </c>
    </row>
    <row r="13" spans="1:19" x14ac:dyDescent="0.25">
      <c r="A13" s="138" t="s">
        <v>250</v>
      </c>
      <c r="C13" s="138" t="s">
        <v>423</v>
      </c>
    </row>
    <row r="14" spans="1:19" x14ac:dyDescent="0.25">
      <c r="A14" s="138" t="s">
        <v>250</v>
      </c>
      <c r="B14" s="138" t="s">
        <v>251</v>
      </c>
    </row>
    <row r="15" spans="1:19" s="139" customFormat="1" x14ac:dyDescent="0.25">
      <c r="A15" s="139" t="s">
        <v>250</v>
      </c>
      <c r="L15" s="149"/>
      <c r="M15" s="149"/>
      <c r="N15" s="149"/>
      <c r="O15" s="149"/>
      <c r="P15" s="149"/>
      <c r="Q15" s="149"/>
      <c r="R15" s="149"/>
      <c r="S15" s="149"/>
    </row>
    <row r="16" spans="1:19" x14ac:dyDescent="0.25">
      <c r="A16" s="138" t="s">
        <v>250</v>
      </c>
    </row>
    <row r="17" spans="1:21" x14ac:dyDescent="0.25">
      <c r="A17" s="138" t="s">
        <v>250</v>
      </c>
      <c r="B17" s="138" t="s">
        <v>273</v>
      </c>
    </row>
    <row r="18" spans="1:21" x14ac:dyDescent="0.25">
      <c r="A18" s="138" t="s">
        <v>250</v>
      </c>
    </row>
    <row r="19" spans="1:21" x14ac:dyDescent="0.25">
      <c r="A19" s="138" t="s">
        <v>250</v>
      </c>
      <c r="B19" s="138" t="s">
        <v>933</v>
      </c>
      <c r="R19" s="138" t="s">
        <v>932</v>
      </c>
    </row>
    <row r="20" spans="1:21" x14ac:dyDescent="0.25">
      <c r="A20" s="138" t="s">
        <v>250</v>
      </c>
      <c r="L20" s="330"/>
      <c r="M20" s="330"/>
      <c r="N20" s="330"/>
      <c r="O20" s="330"/>
      <c r="P20" s="330"/>
      <c r="Q20" s="330"/>
      <c r="R20" s="330"/>
      <c r="S20" s="330"/>
    </row>
    <row r="21" spans="1:21" x14ac:dyDescent="0.25">
      <c r="A21" s="138" t="s">
        <v>366</v>
      </c>
    </row>
    <row r="22" spans="1:21" x14ac:dyDescent="0.25">
      <c r="B22" s="140" t="str">
        <f>"TABLE "&amp;$C$4</f>
        <v>TABLE LtgInputRestrictions</v>
      </c>
      <c r="C22" s="140"/>
    </row>
    <row r="23" spans="1:21" x14ac:dyDescent="0.25">
      <c r="C23" s="140" t="s">
        <v>436</v>
      </c>
      <c r="D23" s="334" t="s">
        <v>428</v>
      </c>
      <c r="E23" s="334" t="s">
        <v>428</v>
      </c>
      <c r="F23" s="334" t="s">
        <v>428</v>
      </c>
      <c r="G23" s="334" t="s">
        <v>428</v>
      </c>
      <c r="H23" s="334" t="s">
        <v>428</v>
      </c>
      <c r="I23" s="334" t="s">
        <v>428</v>
      </c>
      <c r="J23" s="334" t="s">
        <v>428</v>
      </c>
      <c r="K23" s="334" t="s">
        <v>428</v>
      </c>
      <c r="L23" s="149" t="s">
        <v>787</v>
      </c>
      <c r="M23" s="149" t="s">
        <v>787</v>
      </c>
      <c r="N23" s="149" t="s">
        <v>787</v>
      </c>
      <c r="O23" s="149" t="s">
        <v>787</v>
      </c>
      <c r="P23" s="149" t="s">
        <v>787</v>
      </c>
      <c r="Q23" s="149" t="s">
        <v>787</v>
      </c>
      <c r="R23" s="149" t="s">
        <v>787</v>
      </c>
      <c r="S23" s="149" t="s">
        <v>787</v>
      </c>
      <c r="T23" s="138" t="s">
        <v>250</v>
      </c>
      <c r="U23" s="138" t="s">
        <v>798</v>
      </c>
    </row>
    <row r="24" spans="1:21" ht="30" x14ac:dyDescent="0.25">
      <c r="C24" s="333" t="s">
        <v>805</v>
      </c>
      <c r="D24" s="116" t="s">
        <v>429</v>
      </c>
      <c r="E24" s="116" t="s">
        <v>430</v>
      </c>
      <c r="F24" s="116" t="s">
        <v>431</v>
      </c>
      <c r="G24" s="116" t="s">
        <v>432</v>
      </c>
      <c r="H24" s="116" t="s">
        <v>425</v>
      </c>
      <c r="I24" s="116" t="s">
        <v>426</v>
      </c>
      <c r="J24" s="116" t="s">
        <v>427</v>
      </c>
      <c r="K24" s="116" t="s">
        <v>433</v>
      </c>
      <c r="L24" s="149" t="s">
        <v>413</v>
      </c>
      <c r="M24" s="149" t="s">
        <v>414</v>
      </c>
      <c r="N24" s="149" t="s">
        <v>415</v>
      </c>
      <c r="O24" s="149" t="s">
        <v>416</v>
      </c>
      <c r="P24" s="149" t="s">
        <v>417</v>
      </c>
      <c r="Q24" s="149" t="s">
        <v>418</v>
      </c>
      <c r="R24" s="149" t="s">
        <v>419</v>
      </c>
      <c r="S24" s="149" t="s">
        <v>420</v>
      </c>
    </row>
    <row r="25" spans="1:21" x14ac:dyDescent="0.25">
      <c r="C25" s="138" t="s">
        <v>250</v>
      </c>
      <c r="D25" s="141" t="s">
        <v>802</v>
      </c>
      <c r="E25" s="141" t="s">
        <v>802</v>
      </c>
      <c r="F25" s="141" t="s">
        <v>802</v>
      </c>
      <c r="G25" s="141" t="s">
        <v>802</v>
      </c>
      <c r="H25" s="141" t="s">
        <v>802</v>
      </c>
      <c r="I25" s="141" t="s">
        <v>802</v>
      </c>
      <c r="J25" s="141" t="s">
        <v>802</v>
      </c>
      <c r="K25" s="141" t="s">
        <v>802</v>
      </c>
      <c r="L25" s="141" t="s">
        <v>803</v>
      </c>
      <c r="M25" s="141" t="s">
        <v>803</v>
      </c>
      <c r="N25" s="141" t="s">
        <v>803</v>
      </c>
      <c r="O25" s="141" t="s">
        <v>803</v>
      </c>
      <c r="P25" s="141" t="s">
        <v>803</v>
      </c>
      <c r="Q25" s="141" t="s">
        <v>803</v>
      </c>
      <c r="R25" s="141" t="s">
        <v>803</v>
      </c>
      <c r="S25" s="141" t="s">
        <v>803</v>
      </c>
    </row>
    <row r="26" spans="1:21" x14ac:dyDescent="0.25">
      <c r="C26" s="138" t="s">
        <v>526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1</v>
      </c>
      <c r="M26" s="189">
        <v>0</v>
      </c>
      <c r="N26" s="189">
        <v>0</v>
      </c>
      <c r="O26" s="189">
        <v>0</v>
      </c>
      <c r="P26" s="189">
        <v>1</v>
      </c>
      <c r="Q26" s="189">
        <v>0</v>
      </c>
      <c r="R26" s="189" t="s">
        <v>931</v>
      </c>
      <c r="S26" s="189">
        <v>0</v>
      </c>
      <c r="T26" s="138" t="s">
        <v>250</v>
      </c>
      <c r="U26" s="138">
        <v>1</v>
      </c>
    </row>
    <row r="27" spans="1:21" x14ac:dyDescent="0.25">
      <c r="C27" s="138" t="s">
        <v>634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1</v>
      </c>
      <c r="M27" s="189">
        <v>0</v>
      </c>
      <c r="N27" s="189">
        <v>0</v>
      </c>
      <c r="O27" s="189">
        <v>0</v>
      </c>
      <c r="P27" s="189">
        <v>0</v>
      </c>
      <c r="Q27" s="189">
        <v>0</v>
      </c>
      <c r="R27" s="189" t="s">
        <v>931</v>
      </c>
      <c r="S27" s="189">
        <v>0</v>
      </c>
      <c r="T27" s="138" t="s">
        <v>250</v>
      </c>
      <c r="U27" s="138">
        <v>2</v>
      </c>
    </row>
    <row r="28" spans="1:21" x14ac:dyDescent="0.25">
      <c r="C28" s="138" t="s">
        <v>635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1</v>
      </c>
      <c r="M28" s="189">
        <v>0</v>
      </c>
      <c r="N28" s="189">
        <v>0</v>
      </c>
      <c r="O28" s="189">
        <v>0</v>
      </c>
      <c r="P28" s="189">
        <v>1</v>
      </c>
      <c r="Q28" s="189">
        <v>0</v>
      </c>
      <c r="R28" s="189" t="s">
        <v>931</v>
      </c>
      <c r="S28" s="189">
        <v>0</v>
      </c>
      <c r="T28" s="138" t="s">
        <v>250</v>
      </c>
      <c r="U28" s="138">
        <v>3</v>
      </c>
    </row>
    <row r="29" spans="1:21" x14ac:dyDescent="0.25">
      <c r="C29" s="138" t="s">
        <v>636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1</v>
      </c>
      <c r="M29" s="189">
        <v>0</v>
      </c>
      <c r="N29" s="189">
        <v>0</v>
      </c>
      <c r="O29" s="189">
        <v>0</v>
      </c>
      <c r="P29" s="189">
        <v>0</v>
      </c>
      <c r="Q29" s="189">
        <v>0</v>
      </c>
      <c r="R29" s="189" t="s">
        <v>931</v>
      </c>
      <c r="S29" s="189">
        <v>0</v>
      </c>
      <c r="T29" s="138" t="s">
        <v>250</v>
      </c>
      <c r="U29" s="138">
        <v>4</v>
      </c>
    </row>
    <row r="30" spans="1:21" x14ac:dyDescent="0.25">
      <c r="C30" s="138" t="s">
        <v>637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1</v>
      </c>
      <c r="M30" s="189">
        <v>0</v>
      </c>
      <c r="N30" s="189">
        <v>0</v>
      </c>
      <c r="O30" s="189">
        <v>0</v>
      </c>
      <c r="P30" s="189">
        <v>0</v>
      </c>
      <c r="Q30" s="189">
        <v>0</v>
      </c>
      <c r="R30" s="189" t="s">
        <v>931</v>
      </c>
      <c r="S30" s="189">
        <v>1</v>
      </c>
      <c r="T30" s="138" t="s">
        <v>250</v>
      </c>
      <c r="U30" s="138">
        <v>5</v>
      </c>
    </row>
    <row r="31" spans="1:21" x14ac:dyDescent="0.25">
      <c r="C31" s="138" t="s">
        <v>527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1</v>
      </c>
      <c r="M31" s="189">
        <v>0</v>
      </c>
      <c r="N31" s="189">
        <v>0</v>
      </c>
      <c r="O31" s="189">
        <v>0</v>
      </c>
      <c r="P31" s="189">
        <v>0</v>
      </c>
      <c r="Q31" s="189">
        <v>0</v>
      </c>
      <c r="R31" s="189" t="s">
        <v>931</v>
      </c>
      <c r="S31" s="189">
        <v>0</v>
      </c>
      <c r="T31" s="138" t="s">
        <v>250</v>
      </c>
      <c r="U31" s="138">
        <v>6</v>
      </c>
    </row>
    <row r="32" spans="1:21" x14ac:dyDescent="0.25">
      <c r="C32" s="138" t="s">
        <v>638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1</v>
      </c>
      <c r="M32" s="189">
        <v>0</v>
      </c>
      <c r="N32" s="189">
        <v>0</v>
      </c>
      <c r="O32" s="189">
        <v>0</v>
      </c>
      <c r="P32" s="189">
        <v>0</v>
      </c>
      <c r="Q32" s="189">
        <v>0</v>
      </c>
      <c r="R32" s="189" t="s">
        <v>931</v>
      </c>
      <c r="S32" s="189">
        <v>0</v>
      </c>
      <c r="T32" s="138" t="s">
        <v>250</v>
      </c>
      <c r="U32" s="138">
        <v>7</v>
      </c>
    </row>
    <row r="33" spans="3:21" x14ac:dyDescent="0.25">
      <c r="C33" s="138" t="s">
        <v>639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1</v>
      </c>
      <c r="M33" s="189">
        <v>0</v>
      </c>
      <c r="N33" s="189">
        <v>0</v>
      </c>
      <c r="O33" s="189">
        <v>0</v>
      </c>
      <c r="P33" s="189">
        <v>0</v>
      </c>
      <c r="Q33" s="189">
        <v>0</v>
      </c>
      <c r="R33" s="189" t="s">
        <v>931</v>
      </c>
      <c r="S33" s="189">
        <v>0</v>
      </c>
      <c r="T33" s="138" t="s">
        <v>250</v>
      </c>
      <c r="U33" s="138">
        <v>8</v>
      </c>
    </row>
    <row r="34" spans="3:21" x14ac:dyDescent="0.25">
      <c r="C34" s="138" t="s">
        <v>640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1</v>
      </c>
      <c r="M34" s="189">
        <v>0</v>
      </c>
      <c r="N34" s="189">
        <v>0</v>
      </c>
      <c r="O34" s="189">
        <v>0</v>
      </c>
      <c r="P34" s="189">
        <v>0</v>
      </c>
      <c r="Q34" s="189">
        <v>0</v>
      </c>
      <c r="R34" s="189" t="s">
        <v>931</v>
      </c>
      <c r="S34" s="189">
        <v>0</v>
      </c>
      <c r="T34" s="138" t="s">
        <v>250</v>
      </c>
      <c r="U34" s="138">
        <v>9</v>
      </c>
    </row>
    <row r="35" spans="3:21" x14ac:dyDescent="0.25">
      <c r="C35" s="138" t="s">
        <v>528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1</v>
      </c>
      <c r="M35" s="189">
        <v>0</v>
      </c>
      <c r="N35" s="189">
        <v>0</v>
      </c>
      <c r="O35" s="189">
        <v>0</v>
      </c>
      <c r="P35" s="189">
        <v>0</v>
      </c>
      <c r="Q35" s="189">
        <v>0</v>
      </c>
      <c r="R35" s="189" t="s">
        <v>931</v>
      </c>
      <c r="S35" s="189">
        <v>1</v>
      </c>
      <c r="T35" s="138" t="s">
        <v>250</v>
      </c>
      <c r="U35" s="138">
        <v>10</v>
      </c>
    </row>
    <row r="36" spans="3:21" x14ac:dyDescent="0.25">
      <c r="C36" s="138" t="s">
        <v>641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1</v>
      </c>
      <c r="M36" s="189">
        <v>0</v>
      </c>
      <c r="N36" s="189">
        <v>0</v>
      </c>
      <c r="O36" s="189">
        <v>0</v>
      </c>
      <c r="P36" s="189">
        <v>0</v>
      </c>
      <c r="Q36" s="189">
        <v>0</v>
      </c>
      <c r="R36" s="189" t="s">
        <v>931</v>
      </c>
      <c r="S36" s="189">
        <v>0</v>
      </c>
      <c r="T36" s="138" t="s">
        <v>250</v>
      </c>
      <c r="U36" s="138">
        <v>11</v>
      </c>
    </row>
    <row r="37" spans="3:21" x14ac:dyDescent="0.25">
      <c r="C37" s="138" t="s">
        <v>529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1</v>
      </c>
      <c r="M37" s="189">
        <v>0</v>
      </c>
      <c r="N37" s="189">
        <v>0</v>
      </c>
      <c r="O37" s="189">
        <v>0</v>
      </c>
      <c r="P37" s="189">
        <v>1</v>
      </c>
      <c r="Q37" s="189">
        <v>0</v>
      </c>
      <c r="R37" s="189" t="s">
        <v>931</v>
      </c>
      <c r="S37" s="189">
        <v>0</v>
      </c>
      <c r="T37" s="138" t="s">
        <v>250</v>
      </c>
      <c r="U37" s="138">
        <v>12</v>
      </c>
    </row>
    <row r="38" spans="3:21" x14ac:dyDescent="0.25">
      <c r="C38" s="138" t="s">
        <v>642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1</v>
      </c>
      <c r="M38" s="189">
        <v>0</v>
      </c>
      <c r="N38" s="189">
        <v>0</v>
      </c>
      <c r="O38" s="189">
        <v>0</v>
      </c>
      <c r="P38" s="189">
        <v>0</v>
      </c>
      <c r="Q38" s="189">
        <v>0</v>
      </c>
      <c r="R38" s="189" t="s">
        <v>931</v>
      </c>
      <c r="S38" s="189">
        <v>0</v>
      </c>
      <c r="T38" s="138" t="s">
        <v>250</v>
      </c>
      <c r="U38" s="138">
        <v>13</v>
      </c>
    </row>
    <row r="39" spans="3:21" x14ac:dyDescent="0.25">
      <c r="C39" s="138" t="s">
        <v>643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1</v>
      </c>
      <c r="M39" s="189">
        <v>0</v>
      </c>
      <c r="N39" s="189">
        <v>0</v>
      </c>
      <c r="O39" s="189">
        <v>0</v>
      </c>
      <c r="P39" s="189">
        <v>0</v>
      </c>
      <c r="Q39" s="189">
        <v>0</v>
      </c>
      <c r="R39" s="189" t="s">
        <v>931</v>
      </c>
      <c r="S39" s="189">
        <v>0</v>
      </c>
      <c r="T39" s="138" t="s">
        <v>250</v>
      </c>
      <c r="U39" s="138">
        <v>14</v>
      </c>
    </row>
    <row r="40" spans="3:21" x14ac:dyDescent="0.25">
      <c r="C40" s="138" t="s">
        <v>644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1</v>
      </c>
      <c r="M40" s="189">
        <v>0</v>
      </c>
      <c r="N40" s="189">
        <v>0</v>
      </c>
      <c r="O40" s="189">
        <v>0</v>
      </c>
      <c r="P40" s="189">
        <v>0</v>
      </c>
      <c r="Q40" s="189">
        <v>0</v>
      </c>
      <c r="R40" s="189" t="s">
        <v>931</v>
      </c>
      <c r="S40" s="189">
        <v>0</v>
      </c>
      <c r="T40" s="138" t="s">
        <v>250</v>
      </c>
      <c r="U40" s="138">
        <v>15</v>
      </c>
    </row>
    <row r="41" spans="3:21" x14ac:dyDescent="0.25">
      <c r="C41" s="138" t="s">
        <v>939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1</v>
      </c>
      <c r="M41" s="189">
        <v>0</v>
      </c>
      <c r="N41" s="189">
        <v>0</v>
      </c>
      <c r="O41" s="189">
        <v>0</v>
      </c>
      <c r="P41" s="189">
        <v>0</v>
      </c>
      <c r="Q41" s="189">
        <v>0</v>
      </c>
      <c r="R41" s="189" t="s">
        <v>931</v>
      </c>
      <c r="S41" s="189">
        <v>0</v>
      </c>
      <c r="T41" s="138" t="s">
        <v>250</v>
      </c>
      <c r="U41" s="138">
        <v>16</v>
      </c>
    </row>
    <row r="42" spans="3:21" x14ac:dyDescent="0.25">
      <c r="C42" s="138" t="s">
        <v>530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1</v>
      </c>
      <c r="M42" s="189">
        <v>0</v>
      </c>
      <c r="N42" s="189">
        <v>0</v>
      </c>
      <c r="O42" s="189">
        <v>0</v>
      </c>
      <c r="P42" s="189">
        <v>0</v>
      </c>
      <c r="Q42" s="189">
        <v>0</v>
      </c>
      <c r="R42" s="189" t="s">
        <v>931</v>
      </c>
      <c r="S42" s="189">
        <v>0</v>
      </c>
      <c r="T42" s="138" t="s">
        <v>250</v>
      </c>
      <c r="U42" s="138">
        <v>17</v>
      </c>
    </row>
    <row r="43" spans="3:21" x14ac:dyDescent="0.25">
      <c r="C43" s="138" t="s">
        <v>531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1</v>
      </c>
      <c r="M43" s="189">
        <v>0</v>
      </c>
      <c r="N43" s="189">
        <v>0</v>
      </c>
      <c r="O43" s="189">
        <v>0</v>
      </c>
      <c r="P43" s="189">
        <v>0</v>
      </c>
      <c r="Q43" s="189">
        <v>0</v>
      </c>
      <c r="R43" s="189" t="s">
        <v>931</v>
      </c>
      <c r="S43" s="189">
        <v>0</v>
      </c>
      <c r="T43" s="138" t="s">
        <v>250</v>
      </c>
      <c r="U43" s="138">
        <v>18</v>
      </c>
    </row>
    <row r="44" spans="3:21" x14ac:dyDescent="0.25">
      <c r="C44" s="138" t="s">
        <v>645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1</v>
      </c>
      <c r="M44" s="189">
        <v>0</v>
      </c>
      <c r="N44" s="189">
        <v>0</v>
      </c>
      <c r="O44" s="189">
        <v>0</v>
      </c>
      <c r="P44" s="189">
        <v>0</v>
      </c>
      <c r="Q44" s="189">
        <v>0</v>
      </c>
      <c r="R44" s="189" t="s">
        <v>931</v>
      </c>
      <c r="S44" s="189">
        <v>0</v>
      </c>
      <c r="T44" s="138" t="s">
        <v>250</v>
      </c>
      <c r="U44" s="138">
        <v>19</v>
      </c>
    </row>
    <row r="45" spans="3:21" x14ac:dyDescent="0.25">
      <c r="C45" s="138" t="s">
        <v>646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1</v>
      </c>
      <c r="M45" s="189">
        <v>0</v>
      </c>
      <c r="N45" s="189">
        <v>0</v>
      </c>
      <c r="O45" s="189">
        <v>0</v>
      </c>
      <c r="P45" s="189">
        <v>0</v>
      </c>
      <c r="Q45" s="189">
        <v>0</v>
      </c>
      <c r="R45" s="189" t="s">
        <v>931</v>
      </c>
      <c r="S45" s="189">
        <v>0</v>
      </c>
      <c r="T45" s="138" t="s">
        <v>250</v>
      </c>
      <c r="U45" s="138">
        <v>20</v>
      </c>
    </row>
    <row r="46" spans="3:21" x14ac:dyDescent="0.25">
      <c r="C46" s="138" t="s">
        <v>647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1</v>
      </c>
      <c r="M46" s="189">
        <v>0</v>
      </c>
      <c r="N46" s="189">
        <v>0</v>
      </c>
      <c r="O46" s="189">
        <v>0</v>
      </c>
      <c r="P46" s="189">
        <v>0</v>
      </c>
      <c r="Q46" s="189">
        <v>0</v>
      </c>
      <c r="R46" s="189" t="s">
        <v>931</v>
      </c>
      <c r="S46" s="189">
        <v>0</v>
      </c>
      <c r="T46" s="138" t="s">
        <v>250</v>
      </c>
      <c r="U46" s="138">
        <v>21</v>
      </c>
    </row>
    <row r="47" spans="3:21" x14ac:dyDescent="0.25">
      <c r="C47" s="138" t="s">
        <v>532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1</v>
      </c>
      <c r="M47" s="189">
        <v>0</v>
      </c>
      <c r="N47" s="189">
        <v>0</v>
      </c>
      <c r="O47" s="189">
        <v>0</v>
      </c>
      <c r="P47" s="189">
        <v>0</v>
      </c>
      <c r="Q47" s="189">
        <v>0</v>
      </c>
      <c r="R47" s="189" t="s">
        <v>931</v>
      </c>
      <c r="S47" s="189">
        <v>0</v>
      </c>
      <c r="T47" s="138" t="s">
        <v>250</v>
      </c>
      <c r="U47" s="138">
        <v>22</v>
      </c>
    </row>
    <row r="48" spans="3:21" x14ac:dyDescent="0.25">
      <c r="C48" s="138" t="s">
        <v>940</v>
      </c>
      <c r="D48" s="189"/>
      <c r="E48" s="331"/>
      <c r="F48" s="332"/>
      <c r="G48" s="331"/>
      <c r="H48" s="189"/>
      <c r="I48" s="189"/>
      <c r="J48" s="189"/>
      <c r="K48" s="189"/>
      <c r="L48" s="189">
        <v>1</v>
      </c>
      <c r="M48" s="189">
        <v>0</v>
      </c>
      <c r="N48" s="189">
        <v>0</v>
      </c>
      <c r="O48" s="189">
        <v>0</v>
      </c>
      <c r="P48" s="189">
        <v>0</v>
      </c>
      <c r="Q48" s="189">
        <v>0</v>
      </c>
      <c r="R48" s="189" t="s">
        <v>931</v>
      </c>
      <c r="S48" s="189">
        <v>0</v>
      </c>
      <c r="T48" s="138" t="s">
        <v>250</v>
      </c>
      <c r="U48" s="138">
        <v>23</v>
      </c>
    </row>
    <row r="49" spans="3:21" x14ac:dyDescent="0.25">
      <c r="C49" s="138" t="s">
        <v>648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>
        <v>0</v>
      </c>
      <c r="N49" s="189">
        <v>0</v>
      </c>
      <c r="O49" s="189">
        <v>0</v>
      </c>
      <c r="P49" s="189">
        <v>0</v>
      </c>
      <c r="Q49" s="189">
        <v>0</v>
      </c>
      <c r="R49" s="189" t="s">
        <v>931</v>
      </c>
      <c r="S49" s="189">
        <v>0</v>
      </c>
      <c r="T49" s="138" t="s">
        <v>250</v>
      </c>
      <c r="U49" s="138">
        <v>24</v>
      </c>
    </row>
    <row r="50" spans="3:21" x14ac:dyDescent="0.25">
      <c r="C50" s="138" t="s">
        <v>533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1</v>
      </c>
      <c r="M50" s="189">
        <v>0</v>
      </c>
      <c r="N50" s="189">
        <v>0</v>
      </c>
      <c r="O50" s="189">
        <v>0</v>
      </c>
      <c r="P50" s="189">
        <v>1</v>
      </c>
      <c r="Q50" s="189">
        <v>0</v>
      </c>
      <c r="R50" s="189" t="s">
        <v>931</v>
      </c>
      <c r="S50" s="189">
        <v>0</v>
      </c>
      <c r="T50" s="138" t="s">
        <v>250</v>
      </c>
      <c r="U50" s="138">
        <v>25</v>
      </c>
    </row>
    <row r="51" spans="3:21" x14ac:dyDescent="0.25">
      <c r="C51" s="138" t="s">
        <v>649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189">
        <v>0</v>
      </c>
      <c r="O51" s="189">
        <v>0</v>
      </c>
      <c r="P51" s="189">
        <v>0</v>
      </c>
      <c r="Q51" s="189">
        <v>0</v>
      </c>
      <c r="R51" s="189" t="s">
        <v>931</v>
      </c>
      <c r="S51" s="189">
        <v>0</v>
      </c>
      <c r="T51" s="138" t="s">
        <v>250</v>
      </c>
      <c r="U51" s="138">
        <v>26</v>
      </c>
    </row>
    <row r="52" spans="3:21" x14ac:dyDescent="0.25">
      <c r="C52" s="138" t="s">
        <v>650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1</v>
      </c>
      <c r="M52" s="189">
        <v>0</v>
      </c>
      <c r="N52" s="189">
        <v>0</v>
      </c>
      <c r="O52" s="189">
        <v>0</v>
      </c>
      <c r="P52" s="189">
        <v>0</v>
      </c>
      <c r="Q52" s="189">
        <v>0</v>
      </c>
      <c r="R52" s="189" t="s">
        <v>931</v>
      </c>
      <c r="S52" s="189">
        <v>0</v>
      </c>
      <c r="T52" s="138" t="s">
        <v>250</v>
      </c>
      <c r="U52" s="138">
        <v>27</v>
      </c>
    </row>
    <row r="53" spans="3:21" x14ac:dyDescent="0.25">
      <c r="C53" s="138" t="s">
        <v>651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1</v>
      </c>
      <c r="M53" s="189">
        <v>0</v>
      </c>
      <c r="N53" s="189">
        <v>0</v>
      </c>
      <c r="O53" s="189">
        <v>0</v>
      </c>
      <c r="P53" s="189">
        <v>0</v>
      </c>
      <c r="Q53" s="189">
        <v>0</v>
      </c>
      <c r="R53" s="189" t="s">
        <v>931</v>
      </c>
      <c r="S53" s="189">
        <v>0</v>
      </c>
      <c r="T53" s="138" t="s">
        <v>250</v>
      </c>
      <c r="U53" s="138">
        <v>28</v>
      </c>
    </row>
    <row r="54" spans="3:21" x14ac:dyDescent="0.25">
      <c r="C54" s="138" t="s">
        <v>652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1</v>
      </c>
      <c r="M54" s="189">
        <v>0</v>
      </c>
      <c r="N54" s="189">
        <v>0</v>
      </c>
      <c r="O54" s="189">
        <v>0</v>
      </c>
      <c r="P54" s="189">
        <v>0</v>
      </c>
      <c r="Q54" s="189">
        <v>0</v>
      </c>
      <c r="R54" s="189" t="s">
        <v>931</v>
      </c>
      <c r="S54" s="189">
        <v>0</v>
      </c>
      <c r="T54" s="138" t="s">
        <v>250</v>
      </c>
      <c r="U54" s="138">
        <v>29</v>
      </c>
    </row>
    <row r="55" spans="3:21" x14ac:dyDescent="0.25">
      <c r="C55" s="138" t="s">
        <v>653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1</v>
      </c>
      <c r="M55" s="189">
        <v>0</v>
      </c>
      <c r="N55" s="189">
        <v>0</v>
      </c>
      <c r="O55" s="189">
        <v>0</v>
      </c>
      <c r="P55" s="189">
        <v>0</v>
      </c>
      <c r="Q55" s="189">
        <v>0</v>
      </c>
      <c r="R55" s="189" t="s">
        <v>931</v>
      </c>
      <c r="S55" s="189">
        <v>0</v>
      </c>
      <c r="T55" s="138" t="s">
        <v>250</v>
      </c>
      <c r="U55" s="138">
        <v>30</v>
      </c>
    </row>
    <row r="56" spans="3:21" x14ac:dyDescent="0.25">
      <c r="C56" s="138" t="s">
        <v>654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1</v>
      </c>
      <c r="M56" s="189">
        <v>0</v>
      </c>
      <c r="N56" s="189">
        <v>0</v>
      </c>
      <c r="O56" s="189">
        <v>0</v>
      </c>
      <c r="P56" s="189">
        <v>0</v>
      </c>
      <c r="Q56" s="189">
        <v>0</v>
      </c>
      <c r="R56" s="189" t="s">
        <v>931</v>
      </c>
      <c r="S56" s="189">
        <v>0</v>
      </c>
      <c r="T56" s="138" t="s">
        <v>250</v>
      </c>
      <c r="U56" s="138">
        <v>31</v>
      </c>
    </row>
    <row r="57" spans="3:21" x14ac:dyDescent="0.25">
      <c r="C57" s="138" t="s">
        <v>655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1</v>
      </c>
      <c r="M57" s="189">
        <v>0</v>
      </c>
      <c r="N57" s="189">
        <v>0</v>
      </c>
      <c r="O57" s="189">
        <v>0</v>
      </c>
      <c r="P57" s="189">
        <v>0</v>
      </c>
      <c r="Q57" s="189">
        <v>0</v>
      </c>
      <c r="R57" s="189" t="s">
        <v>931</v>
      </c>
      <c r="S57" s="189">
        <v>0</v>
      </c>
      <c r="T57" s="138" t="s">
        <v>250</v>
      </c>
      <c r="U57" s="138">
        <v>32</v>
      </c>
    </row>
    <row r="58" spans="3:21" x14ac:dyDescent="0.25">
      <c r="C58" s="138" t="s">
        <v>656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1</v>
      </c>
      <c r="M58" s="189">
        <v>0</v>
      </c>
      <c r="N58" s="189">
        <v>0</v>
      </c>
      <c r="O58" s="189">
        <v>0</v>
      </c>
      <c r="P58" s="189">
        <v>0</v>
      </c>
      <c r="Q58" s="189">
        <v>0</v>
      </c>
      <c r="R58" s="189" t="s">
        <v>931</v>
      </c>
      <c r="S58" s="189">
        <v>0</v>
      </c>
      <c r="T58" s="138" t="s">
        <v>250</v>
      </c>
      <c r="U58" s="138">
        <v>33</v>
      </c>
    </row>
    <row r="59" spans="3:21" x14ac:dyDescent="0.25">
      <c r="C59" s="138" t="s">
        <v>657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1</v>
      </c>
      <c r="M59" s="189">
        <v>0</v>
      </c>
      <c r="N59" s="189">
        <v>0</v>
      </c>
      <c r="O59" s="189">
        <v>0</v>
      </c>
      <c r="P59" s="189">
        <v>0</v>
      </c>
      <c r="Q59" s="189">
        <v>0</v>
      </c>
      <c r="R59" s="189" t="s">
        <v>931</v>
      </c>
      <c r="S59" s="189">
        <v>0</v>
      </c>
      <c r="T59" s="138" t="s">
        <v>250</v>
      </c>
      <c r="U59" s="138">
        <v>34</v>
      </c>
    </row>
    <row r="60" spans="3:21" x14ac:dyDescent="0.25">
      <c r="C60" s="138" t="s">
        <v>658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1</v>
      </c>
      <c r="M60" s="189">
        <v>0</v>
      </c>
      <c r="N60" s="189">
        <v>0</v>
      </c>
      <c r="O60" s="189">
        <v>0</v>
      </c>
      <c r="P60" s="189">
        <v>0</v>
      </c>
      <c r="Q60" s="189">
        <v>0</v>
      </c>
      <c r="R60" s="189" t="s">
        <v>931</v>
      </c>
      <c r="S60" s="189">
        <v>0</v>
      </c>
      <c r="T60" s="138" t="s">
        <v>250</v>
      </c>
      <c r="U60" s="138">
        <v>35</v>
      </c>
    </row>
    <row r="61" spans="3:21" x14ac:dyDescent="0.25">
      <c r="C61" s="138" t="s">
        <v>534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1</v>
      </c>
      <c r="M61" s="189">
        <v>0</v>
      </c>
      <c r="N61" s="189">
        <v>0</v>
      </c>
      <c r="O61" s="189">
        <v>0</v>
      </c>
      <c r="P61" s="189">
        <v>0</v>
      </c>
      <c r="Q61" s="189">
        <v>0</v>
      </c>
      <c r="R61" s="189" t="s">
        <v>931</v>
      </c>
      <c r="S61" s="189">
        <v>0</v>
      </c>
      <c r="T61" s="138" t="s">
        <v>250</v>
      </c>
      <c r="U61" s="138">
        <v>36</v>
      </c>
    </row>
    <row r="62" spans="3:21" x14ac:dyDescent="0.25">
      <c r="C62" s="138" t="s">
        <v>535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1</v>
      </c>
      <c r="M62" s="189">
        <v>0</v>
      </c>
      <c r="N62" s="189">
        <v>0</v>
      </c>
      <c r="O62" s="189">
        <v>0</v>
      </c>
      <c r="P62" s="189">
        <v>0</v>
      </c>
      <c r="Q62" s="189">
        <v>0</v>
      </c>
      <c r="R62" s="189" t="s">
        <v>931</v>
      </c>
      <c r="S62" s="189">
        <v>0</v>
      </c>
      <c r="T62" s="138" t="s">
        <v>250</v>
      </c>
      <c r="U62" s="138">
        <v>37</v>
      </c>
    </row>
    <row r="63" spans="3:21" x14ac:dyDescent="0.25">
      <c r="C63" s="138" t="s">
        <v>659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1</v>
      </c>
      <c r="M63" s="189">
        <v>0</v>
      </c>
      <c r="N63" s="189">
        <v>0</v>
      </c>
      <c r="O63" s="189">
        <v>0</v>
      </c>
      <c r="P63" s="189">
        <v>0</v>
      </c>
      <c r="Q63" s="189">
        <v>0</v>
      </c>
      <c r="R63" s="189" t="s">
        <v>931</v>
      </c>
      <c r="S63" s="189">
        <v>0</v>
      </c>
      <c r="T63" s="138" t="s">
        <v>250</v>
      </c>
      <c r="U63" s="138">
        <v>38</v>
      </c>
    </row>
    <row r="64" spans="3:21" x14ac:dyDescent="0.25">
      <c r="C64" s="138" t="s">
        <v>536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1</v>
      </c>
      <c r="M64" s="189">
        <v>0</v>
      </c>
      <c r="N64" s="189">
        <v>0</v>
      </c>
      <c r="O64" s="189">
        <v>0</v>
      </c>
      <c r="P64" s="189">
        <v>0</v>
      </c>
      <c r="Q64" s="189">
        <v>0</v>
      </c>
      <c r="R64" s="189" t="s">
        <v>931</v>
      </c>
      <c r="S64" s="189">
        <v>0</v>
      </c>
      <c r="T64" s="138" t="s">
        <v>250</v>
      </c>
      <c r="U64" s="138">
        <v>39</v>
      </c>
    </row>
    <row r="65" spans="3:21" x14ac:dyDescent="0.25">
      <c r="C65" s="138" t="s">
        <v>537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1</v>
      </c>
      <c r="M65" s="189">
        <v>0</v>
      </c>
      <c r="N65" s="189">
        <v>0</v>
      </c>
      <c r="O65" s="189">
        <v>0</v>
      </c>
      <c r="P65" s="189">
        <v>0</v>
      </c>
      <c r="Q65" s="189">
        <v>0</v>
      </c>
      <c r="R65" s="189" t="s">
        <v>931</v>
      </c>
      <c r="S65" s="189">
        <v>0</v>
      </c>
      <c r="T65" s="138" t="s">
        <v>250</v>
      </c>
      <c r="U65" s="138">
        <v>40</v>
      </c>
    </row>
    <row r="66" spans="3:21" x14ac:dyDescent="0.25">
      <c r="C66" s="138" t="s">
        <v>660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1</v>
      </c>
      <c r="M66" s="189">
        <v>0</v>
      </c>
      <c r="N66" s="189">
        <v>0</v>
      </c>
      <c r="O66" s="189">
        <v>0</v>
      </c>
      <c r="P66" s="189">
        <v>0</v>
      </c>
      <c r="Q66" s="189">
        <v>0</v>
      </c>
      <c r="R66" s="189" t="s">
        <v>931</v>
      </c>
      <c r="S66" s="189">
        <v>0</v>
      </c>
      <c r="T66" s="138" t="s">
        <v>250</v>
      </c>
      <c r="U66" s="138">
        <v>41</v>
      </c>
    </row>
    <row r="67" spans="3:21" x14ac:dyDescent="0.25">
      <c r="C67" s="138" t="s">
        <v>941</v>
      </c>
      <c r="D67" s="189"/>
      <c r="E67" s="331"/>
      <c r="F67" s="332"/>
      <c r="G67" s="331"/>
      <c r="H67" s="189"/>
      <c r="I67" s="189"/>
      <c r="J67" s="189"/>
      <c r="K67" s="189"/>
      <c r="L67" s="189">
        <v>1</v>
      </c>
      <c r="M67" s="189">
        <v>0</v>
      </c>
      <c r="N67" s="189">
        <v>0</v>
      </c>
      <c r="O67" s="189">
        <v>0</v>
      </c>
      <c r="P67" s="189">
        <v>0</v>
      </c>
      <c r="Q67" s="189">
        <v>0</v>
      </c>
      <c r="R67" s="189" t="s">
        <v>931</v>
      </c>
      <c r="S67" s="189">
        <v>0</v>
      </c>
      <c r="T67" s="138" t="s">
        <v>250</v>
      </c>
      <c r="U67" s="138">
        <v>42</v>
      </c>
    </row>
    <row r="68" spans="3:21" x14ac:dyDescent="0.25">
      <c r="C68" s="138" t="s">
        <v>661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>
        <v>1</v>
      </c>
      <c r="N68" s="189">
        <v>1</v>
      </c>
      <c r="O68" s="189">
        <v>1</v>
      </c>
      <c r="P68" s="189">
        <v>0</v>
      </c>
      <c r="Q68" s="189">
        <v>0</v>
      </c>
      <c r="R68" s="189" t="s">
        <v>931</v>
      </c>
      <c r="S68" s="189">
        <v>0</v>
      </c>
      <c r="T68" s="138" t="s">
        <v>250</v>
      </c>
      <c r="U68" s="138">
        <v>43</v>
      </c>
    </row>
    <row r="69" spans="3:21" x14ac:dyDescent="0.25">
      <c r="C69" s="138" t="s">
        <v>662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1</v>
      </c>
      <c r="M69" s="189">
        <v>0</v>
      </c>
      <c r="N69" s="189">
        <v>0</v>
      </c>
      <c r="O69" s="189">
        <v>0</v>
      </c>
      <c r="P69" s="189">
        <v>0</v>
      </c>
      <c r="Q69" s="189">
        <v>0</v>
      </c>
      <c r="R69" s="189" t="s">
        <v>931</v>
      </c>
      <c r="S69" s="189">
        <v>0</v>
      </c>
      <c r="T69" s="138" t="s">
        <v>250</v>
      </c>
      <c r="U69" s="138">
        <v>44</v>
      </c>
    </row>
    <row r="70" spans="3:21" x14ac:dyDescent="0.25">
      <c r="C70" s="138" t="s">
        <v>663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>
        <v>0</v>
      </c>
      <c r="N70" s="189">
        <v>0</v>
      </c>
      <c r="O70" s="189">
        <v>0</v>
      </c>
      <c r="P70" s="189">
        <v>0</v>
      </c>
      <c r="Q70" s="189">
        <v>0</v>
      </c>
      <c r="R70" s="189" t="s">
        <v>931</v>
      </c>
      <c r="S70" s="189">
        <v>0</v>
      </c>
      <c r="T70" s="138" t="s">
        <v>250</v>
      </c>
      <c r="U70" s="138">
        <v>45</v>
      </c>
    </row>
    <row r="71" spans="3:21" x14ac:dyDescent="0.25">
      <c r="C71" s="138" t="s">
        <v>664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1</v>
      </c>
      <c r="M71" s="189">
        <v>0</v>
      </c>
      <c r="N71" s="189">
        <v>0</v>
      </c>
      <c r="O71" s="189">
        <v>0</v>
      </c>
      <c r="P71" s="189">
        <v>0</v>
      </c>
      <c r="Q71" s="189">
        <v>0</v>
      </c>
      <c r="R71" s="189" t="s">
        <v>931</v>
      </c>
      <c r="S71" s="189">
        <v>0</v>
      </c>
      <c r="T71" s="138" t="s">
        <v>250</v>
      </c>
      <c r="U71" s="138">
        <v>46</v>
      </c>
    </row>
    <row r="72" spans="3:21" x14ac:dyDescent="0.25">
      <c r="C72" s="138" t="s">
        <v>665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1</v>
      </c>
      <c r="M72" s="189">
        <v>0</v>
      </c>
      <c r="N72" s="189">
        <v>0</v>
      </c>
      <c r="O72" s="189">
        <v>0</v>
      </c>
      <c r="P72" s="189">
        <v>0</v>
      </c>
      <c r="Q72" s="189">
        <v>0</v>
      </c>
      <c r="R72" s="189" t="s">
        <v>931</v>
      </c>
      <c r="S72" s="189">
        <v>0</v>
      </c>
      <c r="T72" s="138" t="s">
        <v>250</v>
      </c>
      <c r="U72" s="138">
        <v>47</v>
      </c>
    </row>
    <row r="73" spans="3:21" x14ac:dyDescent="0.25">
      <c r="C73" s="138" t="s">
        <v>666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1</v>
      </c>
      <c r="M73" s="189">
        <v>0</v>
      </c>
      <c r="N73" s="189">
        <v>0</v>
      </c>
      <c r="O73" s="189">
        <v>0</v>
      </c>
      <c r="P73" s="189">
        <v>0</v>
      </c>
      <c r="Q73" s="189">
        <v>0</v>
      </c>
      <c r="R73" s="189" t="s">
        <v>931</v>
      </c>
      <c r="S73" s="189">
        <v>0</v>
      </c>
      <c r="T73" s="138" t="s">
        <v>250</v>
      </c>
      <c r="U73" s="138">
        <v>48</v>
      </c>
    </row>
    <row r="74" spans="3:21" x14ac:dyDescent="0.25">
      <c r="C74" s="138" t="s">
        <v>538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1</v>
      </c>
      <c r="M74" s="189">
        <v>0</v>
      </c>
      <c r="N74" s="189">
        <v>0</v>
      </c>
      <c r="O74" s="189">
        <v>0</v>
      </c>
      <c r="P74" s="189">
        <v>0</v>
      </c>
      <c r="Q74" s="189">
        <v>0</v>
      </c>
      <c r="R74" s="189" t="s">
        <v>931</v>
      </c>
      <c r="S74" s="189">
        <v>0</v>
      </c>
      <c r="T74" s="138" t="s">
        <v>250</v>
      </c>
      <c r="U74" s="138">
        <v>49</v>
      </c>
    </row>
    <row r="75" spans="3:21" x14ac:dyDescent="0.25">
      <c r="C75" s="138" t="s">
        <v>539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1</v>
      </c>
      <c r="M75" s="189">
        <v>0</v>
      </c>
      <c r="N75" s="189">
        <v>0</v>
      </c>
      <c r="O75" s="189">
        <v>0</v>
      </c>
      <c r="P75" s="189">
        <v>0</v>
      </c>
      <c r="Q75" s="189">
        <v>0</v>
      </c>
      <c r="R75" s="189" t="s">
        <v>931</v>
      </c>
      <c r="S75" s="189">
        <v>0</v>
      </c>
      <c r="T75" s="138" t="s">
        <v>250</v>
      </c>
      <c r="U75" s="138">
        <v>50</v>
      </c>
    </row>
    <row r="76" spans="3:21" x14ac:dyDescent="0.25">
      <c r="C76" s="138" t="s">
        <v>540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1</v>
      </c>
      <c r="M76" s="189">
        <v>0</v>
      </c>
      <c r="N76" s="189">
        <v>0</v>
      </c>
      <c r="O76" s="189">
        <v>0</v>
      </c>
      <c r="P76" s="189">
        <v>1</v>
      </c>
      <c r="Q76" s="189">
        <v>0</v>
      </c>
      <c r="R76" s="189" t="s">
        <v>931</v>
      </c>
      <c r="S76" s="189">
        <v>0</v>
      </c>
      <c r="T76" s="138" t="s">
        <v>250</v>
      </c>
      <c r="U76" s="138">
        <v>52</v>
      </c>
    </row>
    <row r="77" spans="3:21" x14ac:dyDescent="0.25">
      <c r="C77" s="138" t="s">
        <v>541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1</v>
      </c>
      <c r="M77" s="189">
        <v>0</v>
      </c>
      <c r="N77" s="189">
        <v>0</v>
      </c>
      <c r="O77" s="189">
        <v>0</v>
      </c>
      <c r="P77" s="189">
        <v>1</v>
      </c>
      <c r="Q77" s="189">
        <v>0</v>
      </c>
      <c r="R77" s="189" t="s">
        <v>931</v>
      </c>
      <c r="S77" s="189">
        <v>0</v>
      </c>
      <c r="T77" s="138" t="s">
        <v>250</v>
      </c>
      <c r="U77" s="138">
        <v>53</v>
      </c>
    </row>
    <row r="78" spans="3:21" x14ac:dyDescent="0.25">
      <c r="C78" s="138" t="s">
        <v>542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1</v>
      </c>
      <c r="M78" s="189">
        <v>0</v>
      </c>
      <c r="N78" s="189">
        <v>0</v>
      </c>
      <c r="O78" s="189">
        <v>0</v>
      </c>
      <c r="P78" s="189">
        <v>0</v>
      </c>
      <c r="Q78" s="189">
        <v>0</v>
      </c>
      <c r="R78" s="189" t="s">
        <v>931</v>
      </c>
      <c r="S78" s="189">
        <v>0</v>
      </c>
      <c r="T78" s="138" t="s">
        <v>250</v>
      </c>
      <c r="U78" s="138">
        <v>54</v>
      </c>
    </row>
    <row r="79" spans="3:21" x14ac:dyDescent="0.25">
      <c r="C79" s="138" t="s">
        <v>942</v>
      </c>
      <c r="D79" s="189"/>
      <c r="E79" s="331"/>
      <c r="F79" s="332"/>
      <c r="G79" s="331"/>
      <c r="H79" s="189"/>
      <c r="I79" s="189"/>
      <c r="J79" s="189"/>
      <c r="K79" s="189"/>
      <c r="L79" s="189">
        <v>1</v>
      </c>
      <c r="M79" s="189">
        <v>0</v>
      </c>
      <c r="N79" s="189">
        <v>0</v>
      </c>
      <c r="O79" s="189">
        <v>0</v>
      </c>
      <c r="P79" s="189">
        <v>0</v>
      </c>
      <c r="Q79" s="189">
        <v>0</v>
      </c>
      <c r="R79" s="189" t="s">
        <v>931</v>
      </c>
      <c r="S79" s="189">
        <v>0</v>
      </c>
      <c r="T79" s="138" t="s">
        <v>250</v>
      </c>
      <c r="U79" s="138">
        <v>55</v>
      </c>
    </row>
    <row r="80" spans="3:21" x14ac:dyDescent="0.25">
      <c r="C80" s="138" t="s">
        <v>667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1</v>
      </c>
      <c r="M80" s="189">
        <v>0</v>
      </c>
      <c r="N80" s="189">
        <v>0</v>
      </c>
      <c r="O80" s="189">
        <v>0</v>
      </c>
      <c r="P80" s="189">
        <v>0</v>
      </c>
      <c r="Q80" s="189">
        <v>0</v>
      </c>
      <c r="R80" s="189" t="s">
        <v>931</v>
      </c>
      <c r="S80" s="189">
        <v>0</v>
      </c>
      <c r="T80" s="138" t="s">
        <v>250</v>
      </c>
      <c r="U80" s="138">
        <v>56</v>
      </c>
    </row>
    <row r="81" spans="2:21" x14ac:dyDescent="0.25">
      <c r="C81" s="138" t="s">
        <v>668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1</v>
      </c>
      <c r="M81" s="189">
        <v>0</v>
      </c>
      <c r="N81" s="189">
        <v>0</v>
      </c>
      <c r="O81" s="189">
        <v>0</v>
      </c>
      <c r="P81" s="189">
        <v>0</v>
      </c>
      <c r="Q81" s="189">
        <v>0</v>
      </c>
      <c r="R81" s="189" t="s">
        <v>931</v>
      </c>
      <c r="S81" s="189">
        <v>0</v>
      </c>
      <c r="T81" s="138" t="s">
        <v>250</v>
      </c>
      <c r="U81" s="138">
        <v>57</v>
      </c>
    </row>
    <row r="82" spans="2:21" x14ac:dyDescent="0.25">
      <c r="C82" s="138" t="s">
        <v>669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1</v>
      </c>
      <c r="M82" s="189">
        <v>0</v>
      </c>
      <c r="N82" s="189">
        <v>0</v>
      </c>
      <c r="O82" s="189">
        <v>0</v>
      </c>
      <c r="P82" s="189">
        <v>0</v>
      </c>
      <c r="Q82" s="189">
        <v>0</v>
      </c>
      <c r="R82" s="189" t="s">
        <v>931</v>
      </c>
      <c r="S82" s="189">
        <v>0</v>
      </c>
      <c r="T82" s="138" t="s">
        <v>250</v>
      </c>
      <c r="U82" s="138">
        <v>58</v>
      </c>
    </row>
    <row r="83" spans="2:21" x14ac:dyDescent="0.25">
      <c r="C83" s="138" t="s">
        <v>543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1</v>
      </c>
      <c r="M83" s="189">
        <v>0</v>
      </c>
      <c r="N83" s="189">
        <v>0</v>
      </c>
      <c r="O83" s="189">
        <v>0</v>
      </c>
      <c r="P83" s="189">
        <v>0</v>
      </c>
      <c r="Q83" s="189">
        <v>0</v>
      </c>
      <c r="R83" s="189" t="s">
        <v>931</v>
      </c>
      <c r="S83" s="189">
        <v>1</v>
      </c>
      <c r="T83" s="138" t="s">
        <v>250</v>
      </c>
      <c r="U83" s="138">
        <v>59</v>
      </c>
    </row>
    <row r="84" spans="2:21" x14ac:dyDescent="0.25">
      <c r="C84" s="138" t="s">
        <v>670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1</v>
      </c>
      <c r="M84" s="189">
        <v>0</v>
      </c>
      <c r="N84" s="189">
        <v>0</v>
      </c>
      <c r="O84" s="189">
        <v>0</v>
      </c>
      <c r="P84" s="189">
        <v>0</v>
      </c>
      <c r="Q84" s="189">
        <v>0</v>
      </c>
      <c r="R84" s="189" t="s">
        <v>931</v>
      </c>
      <c r="S84" s="189">
        <v>0</v>
      </c>
      <c r="T84" s="138" t="s">
        <v>250</v>
      </c>
      <c r="U84" s="138">
        <v>60</v>
      </c>
    </row>
    <row r="85" spans="2:21" x14ac:dyDescent="0.25">
      <c r="B85" s="138" t="s">
        <v>245</v>
      </c>
      <c r="E85" s="60"/>
      <c r="F85" s="328"/>
      <c r="G85" s="329"/>
    </row>
  </sheetData>
  <conditionalFormatting sqref="D80:S84 D79:K79 D26:S78">
    <cfRule type="expression" dxfId="9" priority="2">
      <formula>D26=1</formula>
    </cfRule>
  </conditionalFormatting>
  <conditionalFormatting sqref="L79:S79">
    <cfRule type="expression" dxfId="8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28575</xdr:colOff>
                    <xdr:row>0</xdr:row>
                    <xdr:rowOff>180975</xdr:rowOff>
                  </from>
                  <to>
                    <xdr:col>11</xdr:col>
                    <xdr:colOff>2095500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85"/>
  <sheetViews>
    <sheetView tabSelected="1" zoomScale="70" zoomScaleNormal="70" workbookViewId="0">
      <selection activeCell="A76" sqref="A76:XFD76"/>
    </sheetView>
  </sheetViews>
  <sheetFormatPr defaultRowHeight="15" outlineLevelCol="1" x14ac:dyDescent="0.25"/>
  <cols>
    <col min="1" max="2" width="9.140625" style="138"/>
    <col min="3" max="3" width="66.42578125" style="138" customWidth="1" collapsed="1"/>
    <col min="4" max="9" width="21.5703125" style="138" customWidth="1" outlineLevel="1"/>
    <col min="10" max="10" width="22.140625" style="138" customWidth="1" outlineLevel="1"/>
    <col min="11" max="12" width="34" style="138" customWidth="1" outlineLevel="1"/>
    <col min="13" max="18" width="14.7109375" style="138" customWidth="1"/>
    <col min="19" max="16384" width="9.140625" style="138"/>
  </cols>
  <sheetData>
    <row r="1" spans="1:18" x14ac:dyDescent="0.25">
      <c r="A1" s="138" t="s">
        <v>250</v>
      </c>
      <c r="B1" s="138" t="s">
        <v>925</v>
      </c>
    </row>
    <row r="2" spans="1:18" x14ac:dyDescent="0.25">
      <c r="A2" s="138" t="s">
        <v>250</v>
      </c>
    </row>
    <row r="3" spans="1:18" x14ac:dyDescent="0.25">
      <c r="A3" s="138" t="s">
        <v>250</v>
      </c>
      <c r="B3" s="138" t="s">
        <v>357</v>
      </c>
    </row>
    <row r="4" spans="1:18" x14ac:dyDescent="0.25">
      <c r="A4" s="138" t="s">
        <v>250</v>
      </c>
      <c r="C4" s="138" t="s">
        <v>800</v>
      </c>
    </row>
    <row r="5" spans="1:18" x14ac:dyDescent="0.25">
      <c r="A5" s="138" t="s">
        <v>250</v>
      </c>
    </row>
    <row r="6" spans="1:18" x14ac:dyDescent="0.25">
      <c r="A6" s="138" t="s">
        <v>250</v>
      </c>
      <c r="B6" s="138" t="s">
        <v>358</v>
      </c>
    </row>
    <row r="7" spans="1:18" x14ac:dyDescent="0.25">
      <c r="A7" s="138" t="s">
        <v>250</v>
      </c>
      <c r="C7" s="138" t="s">
        <v>263</v>
      </c>
      <c r="D7" s="138" t="s">
        <v>264</v>
      </c>
      <c r="E7" s="138" t="s">
        <v>265</v>
      </c>
    </row>
    <row r="8" spans="1:18" x14ac:dyDescent="0.25">
      <c r="A8" s="138" t="s">
        <v>250</v>
      </c>
      <c r="B8" s="141"/>
      <c r="C8" s="144">
        <v>42205</v>
      </c>
      <c r="D8" s="145" t="s">
        <v>411</v>
      </c>
      <c r="E8" s="138" t="s">
        <v>801</v>
      </c>
    </row>
    <row r="9" spans="1:18" x14ac:dyDescent="0.25">
      <c r="A9" s="138" t="s">
        <v>250</v>
      </c>
      <c r="B9" s="141"/>
      <c r="C9" s="144"/>
      <c r="D9" s="145"/>
    </row>
    <row r="10" spans="1:18" x14ac:dyDescent="0.25">
      <c r="A10" s="138" t="s">
        <v>250</v>
      </c>
      <c r="B10" s="141"/>
      <c r="C10" s="144"/>
    </row>
    <row r="11" spans="1:18" x14ac:dyDescent="0.25">
      <c r="A11" s="138" t="s">
        <v>250</v>
      </c>
      <c r="B11" s="138" t="s">
        <v>267</v>
      </c>
    </row>
    <row r="12" spans="1:18" x14ac:dyDescent="0.25">
      <c r="A12" s="138" t="s">
        <v>250</v>
      </c>
      <c r="C12" s="138" t="s">
        <v>804</v>
      </c>
    </row>
    <row r="13" spans="1:18" x14ac:dyDescent="0.25">
      <c r="A13" s="138" t="s">
        <v>250</v>
      </c>
      <c r="C13" s="138" t="s">
        <v>423</v>
      </c>
    </row>
    <row r="14" spans="1:18" x14ac:dyDescent="0.25">
      <c r="A14" s="138" t="s">
        <v>250</v>
      </c>
      <c r="B14" s="138" t="s">
        <v>251</v>
      </c>
    </row>
    <row r="15" spans="1:18" s="139" customFormat="1" x14ac:dyDescent="0.25">
      <c r="A15" s="139" t="s">
        <v>250</v>
      </c>
      <c r="M15" s="149"/>
      <c r="N15" s="149"/>
      <c r="O15" s="149"/>
      <c r="P15" s="149"/>
      <c r="Q15" s="149"/>
      <c r="R15" s="149"/>
    </row>
    <row r="16" spans="1:18" x14ac:dyDescent="0.25">
      <c r="A16" s="138" t="s">
        <v>250</v>
      </c>
    </row>
    <row r="17" spans="1:20" x14ac:dyDescent="0.25">
      <c r="A17" s="138" t="s">
        <v>250</v>
      </c>
      <c r="B17" s="138" t="s">
        <v>273</v>
      </c>
    </row>
    <row r="18" spans="1:20" x14ac:dyDescent="0.25">
      <c r="A18" s="138" t="s">
        <v>250</v>
      </c>
    </row>
    <row r="19" spans="1:20" x14ac:dyDescent="0.25">
      <c r="A19" s="138" t="s">
        <v>250</v>
      </c>
      <c r="B19" s="138" t="s">
        <v>933</v>
      </c>
    </row>
    <row r="20" spans="1:20" x14ac:dyDescent="0.25">
      <c r="A20" s="138" t="s">
        <v>250</v>
      </c>
      <c r="M20" s="138" t="s">
        <v>932</v>
      </c>
      <c r="N20" s="330"/>
      <c r="O20" s="330"/>
      <c r="P20" s="330"/>
      <c r="Q20" s="330"/>
      <c r="R20" s="138" t="s">
        <v>932</v>
      </c>
    </row>
    <row r="21" spans="1:20" x14ac:dyDescent="0.25">
      <c r="A21" s="138" t="s">
        <v>366</v>
      </c>
    </row>
    <row r="22" spans="1:20" x14ac:dyDescent="0.25">
      <c r="B22" s="140" t="str">
        <f>"TABLE "&amp;$C$4</f>
        <v>TABLE LtgInputRestrictions</v>
      </c>
      <c r="C22" s="140"/>
    </row>
    <row r="23" spans="1:20" x14ac:dyDescent="0.25">
      <c r="C23" s="140" t="s">
        <v>436</v>
      </c>
      <c r="D23" s="334" t="s">
        <v>428</v>
      </c>
      <c r="E23" s="334" t="s">
        <v>428</v>
      </c>
      <c r="F23" s="334" t="s">
        <v>428</v>
      </c>
      <c r="G23" s="334" t="s">
        <v>428</v>
      </c>
      <c r="H23" s="334" t="s">
        <v>428</v>
      </c>
      <c r="I23" s="334" t="s">
        <v>428</v>
      </c>
      <c r="J23" s="334" t="s">
        <v>428</v>
      </c>
      <c r="K23" s="334" t="s">
        <v>428</v>
      </c>
      <c r="L23" s="334" t="s">
        <v>428</v>
      </c>
      <c r="M23" s="149" t="s">
        <v>787</v>
      </c>
      <c r="N23" s="149" t="s">
        <v>787</v>
      </c>
      <c r="O23" s="149" t="s">
        <v>787</v>
      </c>
      <c r="P23" s="149" t="s">
        <v>787</v>
      </c>
      <c r="Q23" s="149" t="s">
        <v>787</v>
      </c>
      <c r="R23" s="149" t="s">
        <v>787</v>
      </c>
      <c r="S23" s="138" t="s">
        <v>250</v>
      </c>
      <c r="T23" s="138" t="s">
        <v>798</v>
      </c>
    </row>
    <row r="24" spans="1:20" ht="106.5" customHeight="1" x14ac:dyDescent="0.25">
      <c r="C24" s="333" t="s">
        <v>805</v>
      </c>
      <c r="D24" s="116" t="s">
        <v>429</v>
      </c>
      <c r="E24" s="116" t="s">
        <v>430</v>
      </c>
      <c r="F24" s="116" t="s">
        <v>431</v>
      </c>
      <c r="G24" s="116" t="s">
        <v>432</v>
      </c>
      <c r="H24" s="116" t="s">
        <v>425</v>
      </c>
      <c r="I24" s="116" t="s">
        <v>426</v>
      </c>
      <c r="J24" s="116" t="s">
        <v>427</v>
      </c>
      <c r="K24" s="116" t="s">
        <v>433</v>
      </c>
      <c r="L24" s="116" t="s">
        <v>916</v>
      </c>
      <c r="M24" s="338" t="s">
        <v>911</v>
      </c>
      <c r="N24" s="338" t="s">
        <v>414</v>
      </c>
      <c r="O24" s="338" t="s">
        <v>415</v>
      </c>
      <c r="P24" s="338" t="s">
        <v>416</v>
      </c>
      <c r="Q24" s="338" t="s">
        <v>913</v>
      </c>
      <c r="R24" s="338" t="s">
        <v>419</v>
      </c>
      <c r="S24" s="189"/>
    </row>
    <row r="25" spans="1:20" s="139" customFormat="1" ht="30" x14ac:dyDescent="0.25">
      <c r="C25" s="336" t="s">
        <v>250</v>
      </c>
      <c r="D25" s="337" t="s">
        <v>802</v>
      </c>
      <c r="E25" s="337" t="s">
        <v>802</v>
      </c>
      <c r="F25" s="337" t="s">
        <v>802</v>
      </c>
      <c r="G25" s="337" t="s">
        <v>802</v>
      </c>
      <c r="H25" s="337" t="s">
        <v>802</v>
      </c>
      <c r="I25" s="337" t="s">
        <v>802</v>
      </c>
      <c r="J25" s="337" t="s">
        <v>802</v>
      </c>
      <c r="K25" s="337" t="s">
        <v>802</v>
      </c>
      <c r="L25" s="337" t="s">
        <v>802</v>
      </c>
      <c r="M25" s="337" t="s">
        <v>912</v>
      </c>
      <c r="N25" s="337" t="s">
        <v>912</v>
      </c>
      <c r="O25" s="337" t="s">
        <v>912</v>
      </c>
      <c r="P25" s="337" t="s">
        <v>912</v>
      </c>
      <c r="Q25" s="337" t="s">
        <v>912</v>
      </c>
      <c r="R25" s="337" t="s">
        <v>912</v>
      </c>
    </row>
    <row r="26" spans="1:20" x14ac:dyDescent="0.25">
      <c r="C26" s="138" t="s">
        <v>526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0</v>
      </c>
      <c r="M26" s="189" t="s">
        <v>931</v>
      </c>
      <c r="N26" s="189">
        <v>0</v>
      </c>
      <c r="O26" s="189">
        <v>0</v>
      </c>
      <c r="P26" s="189">
        <v>0</v>
      </c>
      <c r="Q26" s="189">
        <v>1</v>
      </c>
      <c r="R26" s="189" t="s">
        <v>931</v>
      </c>
      <c r="S26" s="138" t="s">
        <v>250</v>
      </c>
      <c r="T26" s="138">
        <v>1</v>
      </c>
    </row>
    <row r="27" spans="1:20" x14ac:dyDescent="0.25">
      <c r="C27" s="138" t="s">
        <v>634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0</v>
      </c>
      <c r="M27" s="189" t="s">
        <v>931</v>
      </c>
      <c r="N27" s="189">
        <v>0</v>
      </c>
      <c r="O27" s="189">
        <v>0</v>
      </c>
      <c r="P27" s="189">
        <v>0</v>
      </c>
      <c r="Q27" s="189">
        <v>1</v>
      </c>
      <c r="R27" s="189" t="s">
        <v>931</v>
      </c>
      <c r="S27" s="138" t="s">
        <v>250</v>
      </c>
      <c r="T27" s="138">
        <v>2</v>
      </c>
    </row>
    <row r="28" spans="1:20" x14ac:dyDescent="0.25">
      <c r="C28" s="138" t="s">
        <v>635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0</v>
      </c>
      <c r="M28" s="189" t="s">
        <v>931</v>
      </c>
      <c r="N28" s="189">
        <v>0</v>
      </c>
      <c r="O28" s="189">
        <v>0</v>
      </c>
      <c r="P28" s="189">
        <v>0</v>
      </c>
      <c r="Q28" s="189">
        <v>1</v>
      </c>
      <c r="R28" s="189" t="s">
        <v>931</v>
      </c>
      <c r="S28" s="138" t="s">
        <v>250</v>
      </c>
      <c r="T28" s="138">
        <v>3</v>
      </c>
    </row>
    <row r="29" spans="1:20" x14ac:dyDescent="0.25">
      <c r="C29" s="138" t="s">
        <v>636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0</v>
      </c>
      <c r="M29" s="189" t="s">
        <v>931</v>
      </c>
      <c r="N29" s="189">
        <v>0</v>
      </c>
      <c r="O29" s="189">
        <v>0</v>
      </c>
      <c r="P29" s="189">
        <v>0</v>
      </c>
      <c r="Q29" s="189">
        <v>1</v>
      </c>
      <c r="R29" s="189" t="s">
        <v>931</v>
      </c>
      <c r="S29" s="138" t="s">
        <v>250</v>
      </c>
      <c r="T29" s="138">
        <v>4</v>
      </c>
    </row>
    <row r="30" spans="1:20" x14ac:dyDescent="0.25">
      <c r="C30" s="138" t="s">
        <v>637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0</v>
      </c>
      <c r="M30" s="189" t="s">
        <v>931</v>
      </c>
      <c r="N30" s="189">
        <v>0</v>
      </c>
      <c r="O30" s="189">
        <v>0</v>
      </c>
      <c r="P30" s="189">
        <v>0</v>
      </c>
      <c r="Q30" s="189">
        <v>1</v>
      </c>
      <c r="R30" s="189" t="s">
        <v>931</v>
      </c>
      <c r="S30" s="138" t="s">
        <v>250</v>
      </c>
      <c r="T30" s="138">
        <v>5</v>
      </c>
    </row>
    <row r="31" spans="1:20" x14ac:dyDescent="0.25">
      <c r="C31" s="138" t="s">
        <v>527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0</v>
      </c>
      <c r="M31" s="189" t="s">
        <v>931</v>
      </c>
      <c r="N31" s="189">
        <v>0</v>
      </c>
      <c r="O31" s="189">
        <v>0</v>
      </c>
      <c r="P31" s="189">
        <v>0</v>
      </c>
      <c r="Q31" s="189">
        <v>1</v>
      </c>
      <c r="R31" s="189" t="s">
        <v>931</v>
      </c>
      <c r="S31" s="138" t="s">
        <v>250</v>
      </c>
      <c r="T31" s="138">
        <v>6</v>
      </c>
    </row>
    <row r="32" spans="1:20" x14ac:dyDescent="0.25">
      <c r="C32" s="138" t="s">
        <v>638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0</v>
      </c>
      <c r="M32" s="189" t="s">
        <v>931</v>
      </c>
      <c r="N32" s="189">
        <v>0</v>
      </c>
      <c r="O32" s="189">
        <v>0</v>
      </c>
      <c r="P32" s="189">
        <v>0</v>
      </c>
      <c r="Q32" s="189">
        <v>1</v>
      </c>
      <c r="R32" s="189" t="s">
        <v>931</v>
      </c>
      <c r="S32" s="138" t="s">
        <v>250</v>
      </c>
      <c r="T32" s="138">
        <v>7</v>
      </c>
    </row>
    <row r="33" spans="3:20" x14ac:dyDescent="0.25">
      <c r="C33" s="138" t="s">
        <v>639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0</v>
      </c>
      <c r="M33" s="189" t="s">
        <v>931</v>
      </c>
      <c r="N33" s="189">
        <v>0</v>
      </c>
      <c r="O33" s="189">
        <v>0</v>
      </c>
      <c r="P33" s="189">
        <v>0</v>
      </c>
      <c r="Q33" s="189">
        <v>1</v>
      </c>
      <c r="R33" s="189" t="s">
        <v>931</v>
      </c>
      <c r="S33" s="138" t="s">
        <v>250</v>
      </c>
      <c r="T33" s="138">
        <v>8</v>
      </c>
    </row>
    <row r="34" spans="3:20" x14ac:dyDescent="0.25">
      <c r="C34" s="138" t="s">
        <v>640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0</v>
      </c>
      <c r="M34" s="189" t="s">
        <v>931</v>
      </c>
      <c r="N34" s="189">
        <v>0</v>
      </c>
      <c r="O34" s="189">
        <v>0</v>
      </c>
      <c r="P34" s="189">
        <v>0</v>
      </c>
      <c r="Q34" s="189">
        <v>1</v>
      </c>
      <c r="R34" s="189" t="s">
        <v>931</v>
      </c>
      <c r="S34" s="138" t="s">
        <v>250</v>
      </c>
      <c r="T34" s="138">
        <v>9</v>
      </c>
    </row>
    <row r="35" spans="3:20" x14ac:dyDescent="0.25">
      <c r="C35" s="138" t="s">
        <v>528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0</v>
      </c>
      <c r="M35" s="189" t="s">
        <v>931</v>
      </c>
      <c r="N35" s="189">
        <v>0</v>
      </c>
      <c r="O35" s="189">
        <v>0</v>
      </c>
      <c r="P35" s="189">
        <v>0</v>
      </c>
      <c r="Q35" s="189">
        <v>1</v>
      </c>
      <c r="R35" s="189" t="s">
        <v>931</v>
      </c>
      <c r="S35" s="138" t="s">
        <v>250</v>
      </c>
      <c r="T35" s="138">
        <v>10</v>
      </c>
    </row>
    <row r="36" spans="3:20" x14ac:dyDescent="0.25">
      <c r="C36" s="138" t="s">
        <v>641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0</v>
      </c>
      <c r="M36" s="189" t="s">
        <v>931</v>
      </c>
      <c r="N36" s="189">
        <v>0</v>
      </c>
      <c r="O36" s="189">
        <v>0</v>
      </c>
      <c r="P36" s="189">
        <v>0</v>
      </c>
      <c r="Q36" s="189">
        <v>1</v>
      </c>
      <c r="R36" s="189" t="s">
        <v>931</v>
      </c>
      <c r="S36" s="138" t="s">
        <v>250</v>
      </c>
      <c r="T36" s="138">
        <v>11</v>
      </c>
    </row>
    <row r="37" spans="3:20" x14ac:dyDescent="0.25">
      <c r="C37" s="138" t="s">
        <v>529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0</v>
      </c>
      <c r="M37" s="189" t="s">
        <v>931</v>
      </c>
      <c r="N37" s="189">
        <v>0</v>
      </c>
      <c r="O37" s="189">
        <v>0</v>
      </c>
      <c r="P37" s="189">
        <v>0</v>
      </c>
      <c r="Q37" s="189">
        <v>1</v>
      </c>
      <c r="R37" s="189" t="s">
        <v>931</v>
      </c>
      <c r="S37" s="138" t="s">
        <v>250</v>
      </c>
      <c r="T37" s="138">
        <v>12</v>
      </c>
    </row>
    <row r="38" spans="3:20" x14ac:dyDescent="0.25">
      <c r="C38" s="138" t="s">
        <v>642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0</v>
      </c>
      <c r="M38" s="189" t="s">
        <v>931</v>
      </c>
      <c r="N38" s="189">
        <v>0</v>
      </c>
      <c r="O38" s="189">
        <v>0</v>
      </c>
      <c r="P38" s="189">
        <v>0</v>
      </c>
      <c r="Q38" s="189">
        <v>1</v>
      </c>
      <c r="R38" s="189" t="s">
        <v>931</v>
      </c>
      <c r="S38" s="138" t="s">
        <v>250</v>
      </c>
      <c r="T38" s="138">
        <v>13</v>
      </c>
    </row>
    <row r="39" spans="3:20" x14ac:dyDescent="0.25">
      <c r="C39" s="138" t="s">
        <v>643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0</v>
      </c>
      <c r="M39" s="189" t="s">
        <v>931</v>
      </c>
      <c r="N39" s="189">
        <v>0</v>
      </c>
      <c r="O39" s="189">
        <v>0</v>
      </c>
      <c r="P39" s="189">
        <v>0</v>
      </c>
      <c r="Q39" s="189">
        <v>1</v>
      </c>
      <c r="R39" s="189" t="s">
        <v>931</v>
      </c>
      <c r="S39" s="138" t="s">
        <v>250</v>
      </c>
      <c r="T39" s="138">
        <v>14</v>
      </c>
    </row>
    <row r="40" spans="3:20" x14ac:dyDescent="0.25">
      <c r="C40" s="138" t="s">
        <v>644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0</v>
      </c>
      <c r="M40" s="189" t="s">
        <v>931</v>
      </c>
      <c r="N40" s="189">
        <v>0</v>
      </c>
      <c r="O40" s="189">
        <v>0</v>
      </c>
      <c r="P40" s="189">
        <v>0</v>
      </c>
      <c r="Q40" s="189">
        <v>1</v>
      </c>
      <c r="R40" s="189" t="s">
        <v>931</v>
      </c>
      <c r="S40" s="138" t="s">
        <v>250</v>
      </c>
      <c r="T40" s="138">
        <v>15</v>
      </c>
    </row>
    <row r="41" spans="3:20" x14ac:dyDescent="0.25">
      <c r="C41" s="138" t="s">
        <v>939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0</v>
      </c>
      <c r="M41" s="189" t="s">
        <v>931</v>
      </c>
      <c r="N41" s="189">
        <v>0</v>
      </c>
      <c r="O41" s="189">
        <v>0</v>
      </c>
      <c r="P41" s="189">
        <v>0</v>
      </c>
      <c r="Q41" s="189">
        <v>1</v>
      </c>
      <c r="R41" s="189" t="s">
        <v>931</v>
      </c>
      <c r="S41" s="138" t="s">
        <v>250</v>
      </c>
      <c r="T41" s="138">
        <v>16</v>
      </c>
    </row>
    <row r="42" spans="3:20" x14ac:dyDescent="0.25">
      <c r="C42" s="138" t="s">
        <v>530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0</v>
      </c>
      <c r="M42" s="189" t="s">
        <v>931</v>
      </c>
      <c r="N42" s="189">
        <v>0</v>
      </c>
      <c r="O42" s="189">
        <v>0</v>
      </c>
      <c r="P42" s="189">
        <v>0</v>
      </c>
      <c r="Q42" s="189">
        <v>1</v>
      </c>
      <c r="R42" s="189" t="s">
        <v>931</v>
      </c>
      <c r="S42" s="138" t="s">
        <v>250</v>
      </c>
      <c r="T42" s="138">
        <v>17</v>
      </c>
    </row>
    <row r="43" spans="3:20" x14ac:dyDescent="0.25">
      <c r="C43" s="138" t="s">
        <v>531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0</v>
      </c>
      <c r="M43" s="189" t="s">
        <v>931</v>
      </c>
      <c r="N43" s="189">
        <v>0</v>
      </c>
      <c r="O43" s="189">
        <v>0</v>
      </c>
      <c r="P43" s="189">
        <v>0</v>
      </c>
      <c r="Q43" s="189">
        <v>1</v>
      </c>
      <c r="R43" s="189" t="s">
        <v>931</v>
      </c>
      <c r="S43" s="138" t="s">
        <v>250</v>
      </c>
      <c r="T43" s="138">
        <v>18</v>
      </c>
    </row>
    <row r="44" spans="3:20" x14ac:dyDescent="0.25">
      <c r="C44" s="138" t="s">
        <v>645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0</v>
      </c>
      <c r="M44" s="189" t="s">
        <v>931</v>
      </c>
      <c r="N44" s="189">
        <v>0</v>
      </c>
      <c r="O44" s="189">
        <v>0</v>
      </c>
      <c r="P44" s="189">
        <v>0</v>
      </c>
      <c r="Q44" s="189">
        <v>1</v>
      </c>
      <c r="R44" s="189" t="s">
        <v>931</v>
      </c>
      <c r="S44" s="138" t="s">
        <v>250</v>
      </c>
      <c r="T44" s="138">
        <v>19</v>
      </c>
    </row>
    <row r="45" spans="3:20" x14ac:dyDescent="0.25">
      <c r="C45" s="138" t="s">
        <v>646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0</v>
      </c>
      <c r="M45" s="189" t="s">
        <v>931</v>
      </c>
      <c r="N45" s="189">
        <v>0</v>
      </c>
      <c r="O45" s="189">
        <v>0</v>
      </c>
      <c r="P45" s="189">
        <v>0</v>
      </c>
      <c r="Q45" s="189">
        <v>1</v>
      </c>
      <c r="R45" s="189" t="s">
        <v>931</v>
      </c>
      <c r="S45" s="138" t="s">
        <v>250</v>
      </c>
      <c r="T45" s="138">
        <v>20</v>
      </c>
    </row>
    <row r="46" spans="3:20" x14ac:dyDescent="0.25">
      <c r="C46" s="138" t="s">
        <v>647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0</v>
      </c>
      <c r="M46" s="189" t="s">
        <v>931</v>
      </c>
      <c r="N46" s="189">
        <v>0</v>
      </c>
      <c r="O46" s="189">
        <v>0</v>
      </c>
      <c r="P46" s="189">
        <v>0</v>
      </c>
      <c r="Q46" s="189">
        <v>1</v>
      </c>
      <c r="R46" s="189" t="s">
        <v>931</v>
      </c>
      <c r="S46" s="138" t="s">
        <v>250</v>
      </c>
      <c r="T46" s="138">
        <v>21</v>
      </c>
    </row>
    <row r="47" spans="3:20" x14ac:dyDescent="0.25">
      <c r="C47" s="138" t="s">
        <v>532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0</v>
      </c>
      <c r="M47" s="189" t="s">
        <v>931</v>
      </c>
      <c r="N47" s="189">
        <v>0</v>
      </c>
      <c r="O47" s="189">
        <v>0</v>
      </c>
      <c r="P47" s="189">
        <v>0</v>
      </c>
      <c r="Q47" s="189">
        <v>1</v>
      </c>
      <c r="R47" s="189" t="s">
        <v>931</v>
      </c>
      <c r="S47" s="138" t="s">
        <v>250</v>
      </c>
      <c r="T47" s="138">
        <v>22</v>
      </c>
    </row>
    <row r="48" spans="3:20" x14ac:dyDescent="0.25">
      <c r="C48" s="138" t="s">
        <v>940</v>
      </c>
      <c r="D48" s="189">
        <v>0</v>
      </c>
      <c r="E48" s="331">
        <v>0</v>
      </c>
      <c r="F48" s="332">
        <v>0</v>
      </c>
      <c r="G48" s="331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 t="s">
        <v>931</v>
      </c>
      <c r="N48" s="189">
        <v>0</v>
      </c>
      <c r="O48" s="189">
        <v>0</v>
      </c>
      <c r="P48" s="189">
        <v>0</v>
      </c>
      <c r="Q48" s="189">
        <v>1</v>
      </c>
      <c r="R48" s="189" t="s">
        <v>931</v>
      </c>
      <c r="S48" s="138" t="s">
        <v>250</v>
      </c>
      <c r="T48" s="138">
        <v>23</v>
      </c>
    </row>
    <row r="49" spans="3:20" x14ac:dyDescent="0.25">
      <c r="C49" s="138" t="s">
        <v>648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 t="s">
        <v>931</v>
      </c>
      <c r="N49" s="189">
        <v>0</v>
      </c>
      <c r="O49" s="189">
        <v>0</v>
      </c>
      <c r="P49" s="189">
        <v>0</v>
      </c>
      <c r="Q49" s="189">
        <v>1</v>
      </c>
      <c r="R49" s="189" t="s">
        <v>931</v>
      </c>
      <c r="S49" s="138" t="s">
        <v>250</v>
      </c>
      <c r="T49" s="138">
        <v>24</v>
      </c>
    </row>
    <row r="50" spans="3:20" x14ac:dyDescent="0.25">
      <c r="C50" s="138" t="s">
        <v>533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0</v>
      </c>
      <c r="M50" s="189" t="s">
        <v>931</v>
      </c>
      <c r="N50" s="189">
        <v>0</v>
      </c>
      <c r="O50" s="189">
        <v>0</v>
      </c>
      <c r="P50" s="189">
        <v>0</v>
      </c>
      <c r="Q50" s="189">
        <v>1</v>
      </c>
      <c r="R50" s="189" t="s">
        <v>931</v>
      </c>
      <c r="S50" s="138" t="s">
        <v>250</v>
      </c>
      <c r="T50" s="138">
        <v>25</v>
      </c>
    </row>
    <row r="51" spans="3:20" x14ac:dyDescent="0.25">
      <c r="C51" s="138" t="s">
        <v>649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 t="s">
        <v>931</v>
      </c>
      <c r="N51" s="189">
        <v>0</v>
      </c>
      <c r="O51" s="189">
        <v>0</v>
      </c>
      <c r="P51" s="189">
        <v>0</v>
      </c>
      <c r="Q51" s="189">
        <v>1</v>
      </c>
      <c r="R51" s="189" t="s">
        <v>931</v>
      </c>
      <c r="S51" s="138" t="s">
        <v>250</v>
      </c>
      <c r="T51" s="138">
        <v>26</v>
      </c>
    </row>
    <row r="52" spans="3:20" x14ac:dyDescent="0.25">
      <c r="C52" s="138" t="s">
        <v>650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0</v>
      </c>
      <c r="M52" s="189" t="s">
        <v>931</v>
      </c>
      <c r="N52" s="189">
        <v>0</v>
      </c>
      <c r="O52" s="189">
        <v>0</v>
      </c>
      <c r="P52" s="189">
        <v>0</v>
      </c>
      <c r="Q52" s="189">
        <v>1</v>
      </c>
      <c r="R52" s="189" t="s">
        <v>931</v>
      </c>
      <c r="S52" s="138" t="s">
        <v>250</v>
      </c>
      <c r="T52" s="138">
        <v>27</v>
      </c>
    </row>
    <row r="53" spans="3:20" x14ac:dyDescent="0.25">
      <c r="C53" s="138" t="s">
        <v>651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0</v>
      </c>
      <c r="M53" s="189" t="s">
        <v>931</v>
      </c>
      <c r="N53" s="189">
        <v>0</v>
      </c>
      <c r="O53" s="189">
        <v>0</v>
      </c>
      <c r="P53" s="189">
        <v>0</v>
      </c>
      <c r="Q53" s="189">
        <v>1</v>
      </c>
      <c r="R53" s="189" t="s">
        <v>931</v>
      </c>
      <c r="S53" s="138" t="s">
        <v>250</v>
      </c>
      <c r="T53" s="138">
        <v>28</v>
      </c>
    </row>
    <row r="54" spans="3:20" x14ac:dyDescent="0.25">
      <c r="C54" s="138" t="s">
        <v>652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0</v>
      </c>
      <c r="M54" s="189" t="s">
        <v>931</v>
      </c>
      <c r="N54" s="189">
        <v>0</v>
      </c>
      <c r="O54" s="189">
        <v>0</v>
      </c>
      <c r="P54" s="189">
        <v>0</v>
      </c>
      <c r="Q54" s="189">
        <v>1</v>
      </c>
      <c r="R54" s="189" t="s">
        <v>931</v>
      </c>
      <c r="S54" s="138" t="s">
        <v>250</v>
      </c>
      <c r="T54" s="138">
        <v>29</v>
      </c>
    </row>
    <row r="55" spans="3:20" x14ac:dyDescent="0.25">
      <c r="C55" s="138" t="s">
        <v>653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0</v>
      </c>
      <c r="M55" s="189" t="s">
        <v>931</v>
      </c>
      <c r="N55" s="189">
        <v>0</v>
      </c>
      <c r="O55" s="189">
        <v>0</v>
      </c>
      <c r="P55" s="189">
        <v>0</v>
      </c>
      <c r="Q55" s="189">
        <v>1</v>
      </c>
      <c r="R55" s="189" t="s">
        <v>931</v>
      </c>
      <c r="S55" s="138" t="s">
        <v>250</v>
      </c>
      <c r="T55" s="138">
        <v>30</v>
      </c>
    </row>
    <row r="56" spans="3:20" x14ac:dyDescent="0.25">
      <c r="C56" s="138" t="s">
        <v>654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 t="s">
        <v>931</v>
      </c>
      <c r="N56" s="189">
        <v>0</v>
      </c>
      <c r="O56" s="189">
        <v>0</v>
      </c>
      <c r="P56" s="189">
        <v>0</v>
      </c>
      <c r="Q56" s="189">
        <v>1</v>
      </c>
      <c r="R56" s="189" t="s">
        <v>931</v>
      </c>
      <c r="S56" s="138" t="s">
        <v>250</v>
      </c>
      <c r="T56" s="138">
        <v>31</v>
      </c>
    </row>
    <row r="57" spans="3:20" x14ac:dyDescent="0.25">
      <c r="C57" s="138" t="s">
        <v>655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0</v>
      </c>
      <c r="M57" s="189" t="s">
        <v>931</v>
      </c>
      <c r="N57" s="189">
        <v>0</v>
      </c>
      <c r="O57" s="189">
        <v>0</v>
      </c>
      <c r="P57" s="189">
        <v>0</v>
      </c>
      <c r="Q57" s="189">
        <v>1</v>
      </c>
      <c r="R57" s="189" t="s">
        <v>931</v>
      </c>
      <c r="S57" s="138" t="s">
        <v>250</v>
      </c>
      <c r="T57" s="138">
        <v>32</v>
      </c>
    </row>
    <row r="58" spans="3:20" x14ac:dyDescent="0.25">
      <c r="C58" s="138" t="s">
        <v>656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 t="s">
        <v>931</v>
      </c>
      <c r="N58" s="189">
        <v>0</v>
      </c>
      <c r="O58" s="189">
        <v>0</v>
      </c>
      <c r="P58" s="189">
        <v>0</v>
      </c>
      <c r="Q58" s="189">
        <v>1</v>
      </c>
      <c r="R58" s="189" t="s">
        <v>931</v>
      </c>
      <c r="S58" s="138" t="s">
        <v>250</v>
      </c>
      <c r="T58" s="138">
        <v>33</v>
      </c>
    </row>
    <row r="59" spans="3:20" x14ac:dyDescent="0.25">
      <c r="C59" s="138" t="s">
        <v>657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 t="s">
        <v>931</v>
      </c>
      <c r="N59" s="189">
        <v>0</v>
      </c>
      <c r="O59" s="189">
        <v>0</v>
      </c>
      <c r="P59" s="189">
        <v>0</v>
      </c>
      <c r="Q59" s="189">
        <v>1</v>
      </c>
      <c r="R59" s="189" t="s">
        <v>931</v>
      </c>
      <c r="S59" s="138" t="s">
        <v>250</v>
      </c>
      <c r="T59" s="138">
        <v>34</v>
      </c>
    </row>
    <row r="60" spans="3:20" x14ac:dyDescent="0.25">
      <c r="C60" s="138" t="s">
        <v>658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0</v>
      </c>
      <c r="M60" s="189" t="s">
        <v>931</v>
      </c>
      <c r="N60" s="189">
        <v>0</v>
      </c>
      <c r="O60" s="189">
        <v>0</v>
      </c>
      <c r="P60" s="189">
        <v>0</v>
      </c>
      <c r="Q60" s="189">
        <v>1</v>
      </c>
      <c r="R60" s="189" t="s">
        <v>931</v>
      </c>
      <c r="S60" s="138" t="s">
        <v>250</v>
      </c>
      <c r="T60" s="138">
        <v>35</v>
      </c>
    </row>
    <row r="61" spans="3:20" x14ac:dyDescent="0.25">
      <c r="C61" s="138" t="s">
        <v>534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0</v>
      </c>
      <c r="M61" s="189" t="s">
        <v>931</v>
      </c>
      <c r="N61" s="189">
        <v>0</v>
      </c>
      <c r="O61" s="189">
        <v>0</v>
      </c>
      <c r="P61" s="189">
        <v>0</v>
      </c>
      <c r="Q61" s="189">
        <v>1</v>
      </c>
      <c r="R61" s="189" t="s">
        <v>931</v>
      </c>
      <c r="S61" s="138" t="s">
        <v>250</v>
      </c>
      <c r="T61" s="138">
        <v>36</v>
      </c>
    </row>
    <row r="62" spans="3:20" x14ac:dyDescent="0.25">
      <c r="C62" s="138" t="s">
        <v>535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0</v>
      </c>
      <c r="M62" s="189" t="s">
        <v>931</v>
      </c>
      <c r="N62" s="189">
        <v>0</v>
      </c>
      <c r="O62" s="189">
        <v>0</v>
      </c>
      <c r="P62" s="189">
        <v>0</v>
      </c>
      <c r="Q62" s="189">
        <v>1</v>
      </c>
      <c r="R62" s="189" t="s">
        <v>931</v>
      </c>
      <c r="S62" s="138" t="s">
        <v>250</v>
      </c>
      <c r="T62" s="138">
        <v>37</v>
      </c>
    </row>
    <row r="63" spans="3:20" x14ac:dyDescent="0.25">
      <c r="C63" s="138" t="s">
        <v>659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0</v>
      </c>
      <c r="M63" s="189" t="s">
        <v>931</v>
      </c>
      <c r="N63" s="189">
        <v>0</v>
      </c>
      <c r="O63" s="189">
        <v>0</v>
      </c>
      <c r="P63" s="189">
        <v>0</v>
      </c>
      <c r="Q63" s="189">
        <v>1</v>
      </c>
      <c r="R63" s="189" t="s">
        <v>931</v>
      </c>
      <c r="S63" s="138" t="s">
        <v>250</v>
      </c>
      <c r="T63" s="138">
        <v>38</v>
      </c>
    </row>
    <row r="64" spans="3:20" x14ac:dyDescent="0.25">
      <c r="C64" s="138" t="s">
        <v>536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0</v>
      </c>
      <c r="M64" s="189" t="s">
        <v>931</v>
      </c>
      <c r="N64" s="189">
        <v>0</v>
      </c>
      <c r="O64" s="189">
        <v>0</v>
      </c>
      <c r="P64" s="189">
        <v>0</v>
      </c>
      <c r="Q64" s="189">
        <v>1</v>
      </c>
      <c r="R64" s="189" t="s">
        <v>931</v>
      </c>
      <c r="S64" s="138" t="s">
        <v>250</v>
      </c>
      <c r="T64" s="138">
        <v>39</v>
      </c>
    </row>
    <row r="65" spans="3:20" x14ac:dyDescent="0.25">
      <c r="C65" s="138" t="s">
        <v>537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0</v>
      </c>
      <c r="M65" s="189" t="s">
        <v>931</v>
      </c>
      <c r="N65" s="189">
        <v>0</v>
      </c>
      <c r="O65" s="189">
        <v>0</v>
      </c>
      <c r="P65" s="189">
        <v>0</v>
      </c>
      <c r="Q65" s="189">
        <v>1</v>
      </c>
      <c r="R65" s="189" t="s">
        <v>931</v>
      </c>
      <c r="S65" s="138" t="s">
        <v>250</v>
      </c>
      <c r="T65" s="138">
        <v>40</v>
      </c>
    </row>
    <row r="66" spans="3:20" x14ac:dyDescent="0.25">
      <c r="C66" s="138" t="s">
        <v>660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0</v>
      </c>
      <c r="M66" s="189" t="s">
        <v>931</v>
      </c>
      <c r="N66" s="189">
        <v>0</v>
      </c>
      <c r="O66" s="189">
        <v>0</v>
      </c>
      <c r="P66" s="189">
        <v>0</v>
      </c>
      <c r="Q66" s="189">
        <v>1</v>
      </c>
      <c r="R66" s="189" t="s">
        <v>931</v>
      </c>
      <c r="S66" s="138" t="s">
        <v>250</v>
      </c>
      <c r="T66" s="138">
        <v>41</v>
      </c>
    </row>
    <row r="67" spans="3:20" x14ac:dyDescent="0.25">
      <c r="C67" s="138" t="s">
        <v>941</v>
      </c>
      <c r="D67" s="189">
        <v>0</v>
      </c>
      <c r="E67" s="331">
        <v>0</v>
      </c>
      <c r="F67" s="332">
        <v>0</v>
      </c>
      <c r="G67" s="331">
        <v>0</v>
      </c>
      <c r="H67" s="189">
        <v>0</v>
      </c>
      <c r="I67" s="189">
        <v>0</v>
      </c>
      <c r="J67" s="189">
        <v>0</v>
      </c>
      <c r="K67" s="189">
        <v>0</v>
      </c>
      <c r="L67" s="189">
        <v>0</v>
      </c>
      <c r="M67" s="189" t="s">
        <v>931</v>
      </c>
      <c r="N67" s="189">
        <v>0</v>
      </c>
      <c r="O67" s="189">
        <v>0</v>
      </c>
      <c r="P67" s="189">
        <v>0</v>
      </c>
      <c r="Q67" s="189">
        <v>1</v>
      </c>
      <c r="R67" s="189" t="s">
        <v>931</v>
      </c>
      <c r="S67" s="138" t="s">
        <v>250</v>
      </c>
      <c r="T67" s="138">
        <v>42</v>
      </c>
    </row>
    <row r="68" spans="3:20" x14ac:dyDescent="0.25">
      <c r="C68" s="138" t="s">
        <v>661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 t="s">
        <v>931</v>
      </c>
      <c r="N68" s="189">
        <v>1</v>
      </c>
      <c r="O68" s="189">
        <v>1</v>
      </c>
      <c r="P68" s="189">
        <v>1</v>
      </c>
      <c r="Q68" s="189">
        <v>1</v>
      </c>
      <c r="R68" s="189" t="s">
        <v>931</v>
      </c>
      <c r="S68" s="138" t="s">
        <v>250</v>
      </c>
      <c r="T68" s="138">
        <v>43</v>
      </c>
    </row>
    <row r="69" spans="3:20" x14ac:dyDescent="0.25">
      <c r="C69" s="138" t="s">
        <v>662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 t="s">
        <v>931</v>
      </c>
      <c r="N69" s="189">
        <v>0</v>
      </c>
      <c r="O69" s="189">
        <v>0</v>
      </c>
      <c r="P69" s="189">
        <v>0</v>
      </c>
      <c r="Q69" s="189">
        <v>1</v>
      </c>
      <c r="R69" s="189" t="s">
        <v>931</v>
      </c>
      <c r="S69" s="138" t="s">
        <v>250</v>
      </c>
      <c r="T69" s="138">
        <v>44</v>
      </c>
    </row>
    <row r="70" spans="3:20" x14ac:dyDescent="0.25">
      <c r="C70" s="138" t="s">
        <v>663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 t="s">
        <v>931</v>
      </c>
      <c r="N70" s="189">
        <v>0</v>
      </c>
      <c r="O70" s="189">
        <v>0</v>
      </c>
      <c r="P70" s="189">
        <v>0</v>
      </c>
      <c r="Q70" s="189">
        <v>1</v>
      </c>
      <c r="R70" s="189" t="s">
        <v>931</v>
      </c>
      <c r="S70" s="138" t="s">
        <v>250</v>
      </c>
      <c r="T70" s="138">
        <v>45</v>
      </c>
    </row>
    <row r="71" spans="3:20" x14ac:dyDescent="0.25">
      <c r="C71" s="138" t="s">
        <v>664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0</v>
      </c>
      <c r="M71" s="189" t="s">
        <v>931</v>
      </c>
      <c r="N71" s="189">
        <v>0</v>
      </c>
      <c r="O71" s="189">
        <v>0</v>
      </c>
      <c r="P71" s="189">
        <v>0</v>
      </c>
      <c r="Q71" s="189">
        <v>1</v>
      </c>
      <c r="R71" s="189" t="s">
        <v>931</v>
      </c>
      <c r="S71" s="138" t="s">
        <v>250</v>
      </c>
      <c r="T71" s="138">
        <v>46</v>
      </c>
    </row>
    <row r="72" spans="3:20" x14ac:dyDescent="0.25">
      <c r="C72" s="138" t="s">
        <v>665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0</v>
      </c>
      <c r="M72" s="189" t="s">
        <v>931</v>
      </c>
      <c r="N72" s="189">
        <v>0</v>
      </c>
      <c r="O72" s="189">
        <v>0</v>
      </c>
      <c r="P72" s="189">
        <v>0</v>
      </c>
      <c r="Q72" s="189">
        <v>1</v>
      </c>
      <c r="R72" s="189" t="s">
        <v>931</v>
      </c>
      <c r="S72" s="138" t="s">
        <v>250</v>
      </c>
      <c r="T72" s="138">
        <v>47</v>
      </c>
    </row>
    <row r="73" spans="3:20" x14ac:dyDescent="0.25">
      <c r="C73" s="138" t="s">
        <v>666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0</v>
      </c>
      <c r="M73" s="189" t="s">
        <v>931</v>
      </c>
      <c r="N73" s="189">
        <v>0</v>
      </c>
      <c r="O73" s="189">
        <v>0</v>
      </c>
      <c r="P73" s="189">
        <v>0</v>
      </c>
      <c r="Q73" s="189">
        <v>1</v>
      </c>
      <c r="R73" s="189" t="s">
        <v>931</v>
      </c>
      <c r="S73" s="138" t="s">
        <v>250</v>
      </c>
      <c r="T73" s="138">
        <v>48</v>
      </c>
    </row>
    <row r="74" spans="3:20" x14ac:dyDescent="0.25">
      <c r="C74" s="138" t="s">
        <v>538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0</v>
      </c>
      <c r="M74" s="189" t="s">
        <v>931</v>
      </c>
      <c r="N74" s="189">
        <v>0</v>
      </c>
      <c r="O74" s="189">
        <v>0</v>
      </c>
      <c r="P74" s="189">
        <v>0</v>
      </c>
      <c r="Q74" s="189">
        <v>1</v>
      </c>
      <c r="R74" s="189" t="s">
        <v>931</v>
      </c>
      <c r="S74" s="138" t="s">
        <v>250</v>
      </c>
      <c r="T74" s="138">
        <v>49</v>
      </c>
    </row>
    <row r="75" spans="3:20" x14ac:dyDescent="0.25">
      <c r="C75" s="138" t="s">
        <v>539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0</v>
      </c>
      <c r="M75" s="189" t="s">
        <v>931</v>
      </c>
      <c r="N75" s="189">
        <v>0</v>
      </c>
      <c r="O75" s="189">
        <v>0</v>
      </c>
      <c r="P75" s="189">
        <v>0</v>
      </c>
      <c r="Q75" s="189">
        <v>1</v>
      </c>
      <c r="R75" s="189" t="s">
        <v>931</v>
      </c>
      <c r="S75" s="138" t="s">
        <v>250</v>
      </c>
      <c r="T75" s="138">
        <v>50</v>
      </c>
    </row>
    <row r="76" spans="3:20" x14ac:dyDescent="0.25">
      <c r="C76" s="138" t="s">
        <v>540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0</v>
      </c>
      <c r="M76" s="189" t="s">
        <v>931</v>
      </c>
      <c r="N76" s="189">
        <v>0</v>
      </c>
      <c r="O76" s="189">
        <v>0</v>
      </c>
      <c r="P76" s="189">
        <v>0</v>
      </c>
      <c r="Q76" s="189">
        <v>1</v>
      </c>
      <c r="R76" s="189" t="s">
        <v>931</v>
      </c>
      <c r="S76" s="138" t="s">
        <v>250</v>
      </c>
      <c r="T76" s="138">
        <v>52</v>
      </c>
    </row>
    <row r="77" spans="3:20" x14ac:dyDescent="0.25">
      <c r="C77" s="138" t="s">
        <v>541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0</v>
      </c>
      <c r="M77" s="189" t="s">
        <v>931</v>
      </c>
      <c r="N77" s="189">
        <v>0</v>
      </c>
      <c r="O77" s="189">
        <v>0</v>
      </c>
      <c r="P77" s="189">
        <v>0</v>
      </c>
      <c r="Q77" s="189">
        <v>1</v>
      </c>
      <c r="R77" s="189" t="s">
        <v>931</v>
      </c>
      <c r="S77" s="138" t="s">
        <v>250</v>
      </c>
      <c r="T77" s="138">
        <v>53</v>
      </c>
    </row>
    <row r="78" spans="3:20" x14ac:dyDescent="0.25">
      <c r="C78" s="138" t="s">
        <v>542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 t="s">
        <v>931</v>
      </c>
      <c r="N78" s="189">
        <v>0</v>
      </c>
      <c r="O78" s="189">
        <v>0</v>
      </c>
      <c r="P78" s="189">
        <v>0</v>
      </c>
      <c r="Q78" s="189">
        <v>1</v>
      </c>
      <c r="R78" s="189" t="s">
        <v>931</v>
      </c>
      <c r="S78" s="138" t="s">
        <v>250</v>
      </c>
      <c r="T78" s="138">
        <v>54</v>
      </c>
    </row>
    <row r="79" spans="3:20" x14ac:dyDescent="0.25">
      <c r="C79" s="138" t="s">
        <v>942</v>
      </c>
      <c r="D79" s="189">
        <v>0</v>
      </c>
      <c r="E79" s="331">
        <v>0</v>
      </c>
      <c r="F79" s="332">
        <v>0</v>
      </c>
      <c r="G79" s="331">
        <v>0</v>
      </c>
      <c r="H79" s="189">
        <v>0</v>
      </c>
      <c r="I79" s="189">
        <v>0</v>
      </c>
      <c r="J79" s="189">
        <v>0</v>
      </c>
      <c r="K79" s="189">
        <v>0</v>
      </c>
      <c r="L79" s="189">
        <v>0</v>
      </c>
      <c r="M79" s="189" t="s">
        <v>931</v>
      </c>
      <c r="N79" s="189">
        <v>0</v>
      </c>
      <c r="O79" s="189">
        <v>0</v>
      </c>
      <c r="P79" s="189">
        <v>0</v>
      </c>
      <c r="Q79" s="189">
        <v>1</v>
      </c>
      <c r="R79" s="189" t="s">
        <v>931</v>
      </c>
      <c r="S79" s="138" t="s">
        <v>250</v>
      </c>
      <c r="T79" s="138">
        <v>55</v>
      </c>
    </row>
    <row r="80" spans="3:20" x14ac:dyDescent="0.25">
      <c r="C80" s="138" t="s">
        <v>667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 t="s">
        <v>931</v>
      </c>
      <c r="N80" s="189">
        <v>0</v>
      </c>
      <c r="O80" s="189">
        <v>0</v>
      </c>
      <c r="P80" s="189">
        <v>0</v>
      </c>
      <c r="Q80" s="189">
        <v>1</v>
      </c>
      <c r="R80" s="189" t="s">
        <v>931</v>
      </c>
      <c r="S80" s="138" t="s">
        <v>250</v>
      </c>
      <c r="T80" s="138">
        <v>56</v>
      </c>
    </row>
    <row r="81" spans="2:20" x14ac:dyDescent="0.25">
      <c r="C81" s="138" t="s">
        <v>668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0</v>
      </c>
      <c r="M81" s="189" t="s">
        <v>931</v>
      </c>
      <c r="N81" s="189">
        <v>0</v>
      </c>
      <c r="O81" s="189">
        <v>0</v>
      </c>
      <c r="P81" s="189">
        <v>0</v>
      </c>
      <c r="Q81" s="189">
        <v>1</v>
      </c>
      <c r="R81" s="189" t="s">
        <v>931</v>
      </c>
      <c r="S81" s="138" t="s">
        <v>250</v>
      </c>
      <c r="T81" s="138">
        <v>57</v>
      </c>
    </row>
    <row r="82" spans="2:20" x14ac:dyDescent="0.25">
      <c r="C82" s="138" t="s">
        <v>669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0</v>
      </c>
      <c r="M82" s="189" t="s">
        <v>931</v>
      </c>
      <c r="N82" s="189">
        <v>0</v>
      </c>
      <c r="O82" s="189">
        <v>0</v>
      </c>
      <c r="P82" s="189">
        <v>0</v>
      </c>
      <c r="Q82" s="189">
        <v>1</v>
      </c>
      <c r="R82" s="189" t="s">
        <v>931</v>
      </c>
      <c r="S82" s="138" t="s">
        <v>250</v>
      </c>
      <c r="T82" s="138">
        <v>58</v>
      </c>
    </row>
    <row r="83" spans="2:20" x14ac:dyDescent="0.25">
      <c r="C83" s="138" t="s">
        <v>543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 t="s">
        <v>931</v>
      </c>
      <c r="N83" s="189">
        <v>0</v>
      </c>
      <c r="O83" s="189">
        <v>0</v>
      </c>
      <c r="P83" s="189">
        <v>0</v>
      </c>
      <c r="Q83" s="189">
        <v>1</v>
      </c>
      <c r="R83" s="189" t="s">
        <v>931</v>
      </c>
      <c r="S83" s="138" t="s">
        <v>250</v>
      </c>
      <c r="T83" s="138">
        <v>59</v>
      </c>
    </row>
    <row r="84" spans="2:20" x14ac:dyDescent="0.25">
      <c r="C84" s="138" t="s">
        <v>670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0</v>
      </c>
      <c r="M84" s="189" t="s">
        <v>931</v>
      </c>
      <c r="N84" s="189">
        <v>0</v>
      </c>
      <c r="O84" s="189">
        <v>0</v>
      </c>
      <c r="P84" s="189">
        <v>0</v>
      </c>
      <c r="Q84" s="189">
        <v>1</v>
      </c>
      <c r="R84" s="189" t="s">
        <v>931</v>
      </c>
      <c r="S84" s="138" t="s">
        <v>250</v>
      </c>
      <c r="T84" s="138">
        <v>60</v>
      </c>
    </row>
    <row r="85" spans="2:20" x14ac:dyDescent="0.25">
      <c r="B85" s="138" t="s">
        <v>245</v>
      </c>
      <c r="E85" s="60"/>
      <c r="F85" s="328"/>
      <c r="G85" s="329"/>
      <c r="M85" s="189"/>
    </row>
  </sheetData>
  <conditionalFormatting sqref="N80:R84 M80:M85 D80:L84 D26:R78">
    <cfRule type="expression" dxfId="7" priority="2">
      <formula>D26=1</formula>
    </cfRule>
  </conditionalFormatting>
  <conditionalFormatting sqref="D79:R79">
    <cfRule type="expression" dxfId="6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28575</xdr:colOff>
                    <xdr:row>1</xdr:row>
                    <xdr:rowOff>180975</xdr:rowOff>
                  </from>
                  <to>
                    <xdr:col>4</xdr:col>
                    <xdr:colOff>657225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127"/>
  <sheetViews>
    <sheetView topLeftCell="A85" zoomScale="85" zoomScaleNormal="85" workbookViewId="0">
      <selection activeCell="F55" sqref="F55"/>
    </sheetView>
  </sheetViews>
  <sheetFormatPr defaultRowHeight="15" outlineLevelCol="1" x14ac:dyDescent="0.25"/>
  <cols>
    <col min="1" max="2" width="9.140625" style="138"/>
    <col min="3" max="3" width="66.42578125" style="138" customWidth="1"/>
    <col min="4" max="4" width="21.5703125" style="138" customWidth="1" outlineLevel="1"/>
    <col min="5" max="5" width="4.28515625" style="189" customWidth="1" outlineLevel="1"/>
    <col min="6" max="7" width="21.5703125" style="138" customWidth="1" outlineLevel="1"/>
    <col min="8" max="8" width="22.140625" style="138" customWidth="1" outlineLevel="1"/>
    <col min="9" max="9" width="34" style="138" customWidth="1" outlineLevel="1"/>
    <col min="10" max="17" width="34" style="138" customWidth="1"/>
    <col min="18" max="16384" width="9.140625" style="138"/>
  </cols>
  <sheetData>
    <row r="1" spans="1:17" x14ac:dyDescent="0.25">
      <c r="A1" s="138" t="s">
        <v>250</v>
      </c>
      <c r="B1" s="138" t="s">
        <v>810</v>
      </c>
    </row>
    <row r="2" spans="1:17" x14ac:dyDescent="0.25">
      <c r="A2" s="138" t="s">
        <v>250</v>
      </c>
    </row>
    <row r="3" spans="1:17" x14ac:dyDescent="0.25">
      <c r="A3" s="138" t="s">
        <v>250</v>
      </c>
      <c r="B3" s="138" t="s">
        <v>357</v>
      </c>
    </row>
    <row r="4" spans="1:17" x14ac:dyDescent="0.25">
      <c r="A4" s="138" t="s">
        <v>250</v>
      </c>
      <c r="C4" s="138" t="s">
        <v>800</v>
      </c>
    </row>
    <row r="5" spans="1:17" x14ac:dyDescent="0.25">
      <c r="A5" s="138" t="s">
        <v>250</v>
      </c>
    </row>
    <row r="6" spans="1:17" x14ac:dyDescent="0.25">
      <c r="A6" s="138" t="s">
        <v>250</v>
      </c>
      <c r="B6" s="138" t="s">
        <v>358</v>
      </c>
    </row>
    <row r="7" spans="1:17" x14ac:dyDescent="0.25">
      <c r="A7" s="138" t="s">
        <v>250</v>
      </c>
      <c r="C7" s="138" t="s">
        <v>263</v>
      </c>
      <c r="D7" s="138" t="s">
        <v>264</v>
      </c>
      <c r="F7" s="138" t="s">
        <v>265</v>
      </c>
    </row>
    <row r="8" spans="1:17" x14ac:dyDescent="0.25">
      <c r="A8" s="138" t="s">
        <v>250</v>
      </c>
      <c r="B8" s="141"/>
      <c r="C8" s="144">
        <v>42194</v>
      </c>
      <c r="D8" s="145" t="s">
        <v>411</v>
      </c>
      <c r="F8" s="138" t="s">
        <v>801</v>
      </c>
    </row>
    <row r="9" spans="1:17" x14ac:dyDescent="0.25">
      <c r="A9" s="138" t="s">
        <v>250</v>
      </c>
      <c r="B9" s="141"/>
      <c r="C9" s="144"/>
    </row>
    <row r="10" spans="1:17" x14ac:dyDescent="0.25">
      <c r="A10" s="138" t="s">
        <v>250</v>
      </c>
      <c r="B10" s="141"/>
      <c r="C10" s="144"/>
    </row>
    <row r="11" spans="1:17" x14ac:dyDescent="0.25">
      <c r="A11" s="138" t="s">
        <v>250</v>
      </c>
      <c r="B11" s="138" t="s">
        <v>811</v>
      </c>
    </row>
    <row r="12" spans="1:17" x14ac:dyDescent="0.25">
      <c r="A12" s="138" t="s">
        <v>250</v>
      </c>
      <c r="C12" s="138" t="s">
        <v>812</v>
      </c>
    </row>
    <row r="13" spans="1:17" x14ac:dyDescent="0.25">
      <c r="A13" s="138" t="s">
        <v>250</v>
      </c>
      <c r="C13" s="138" t="s">
        <v>813</v>
      </c>
    </row>
    <row r="14" spans="1:17" x14ac:dyDescent="0.25">
      <c r="A14" s="138" t="s">
        <v>250</v>
      </c>
      <c r="B14" s="138" t="s">
        <v>251</v>
      </c>
    </row>
    <row r="15" spans="1:17" s="139" customFormat="1" x14ac:dyDescent="0.25">
      <c r="A15" s="139" t="s">
        <v>250</v>
      </c>
      <c r="E15" s="335"/>
      <c r="J15" s="149"/>
      <c r="K15" s="149"/>
      <c r="L15" s="149"/>
      <c r="M15" s="149"/>
      <c r="N15" s="149"/>
      <c r="O15" s="149"/>
      <c r="P15" s="149"/>
      <c r="Q15" s="149"/>
    </row>
    <row r="16" spans="1:17" x14ac:dyDescent="0.25">
      <c r="A16" s="138" t="s">
        <v>250</v>
      </c>
    </row>
    <row r="17" spans="1:17" x14ac:dyDescent="0.25">
      <c r="A17" s="138" t="s">
        <v>250</v>
      </c>
      <c r="B17" s="138" t="s">
        <v>273</v>
      </c>
    </row>
    <row r="18" spans="1:17" x14ac:dyDescent="0.25">
      <c r="A18" s="138" t="s">
        <v>250</v>
      </c>
    </row>
    <row r="19" spans="1:17" x14ac:dyDescent="0.25">
      <c r="A19" s="138" t="s">
        <v>250</v>
      </c>
      <c r="B19" s="138" t="s">
        <v>933</v>
      </c>
    </row>
    <row r="20" spans="1:17" x14ac:dyDescent="0.25">
      <c r="A20" s="138" t="s">
        <v>250</v>
      </c>
      <c r="J20" s="330"/>
      <c r="K20" s="330"/>
      <c r="L20" s="330"/>
      <c r="M20" s="330"/>
      <c r="N20" s="330"/>
      <c r="O20" s="330"/>
      <c r="P20" s="330"/>
      <c r="Q20" s="330"/>
    </row>
    <row r="21" spans="1:17" x14ac:dyDescent="0.25">
      <c r="A21" s="138" t="s">
        <v>366</v>
      </c>
    </row>
    <row r="22" spans="1:17" x14ac:dyDescent="0.25">
      <c r="B22" s="140" t="str">
        <f>"TABLE "&amp;$C$4</f>
        <v>TABLE LtgInputRestrictions</v>
      </c>
      <c r="C22" s="140"/>
    </row>
    <row r="23" spans="1:17" x14ac:dyDescent="0.25">
      <c r="C23" s="140" t="s">
        <v>436</v>
      </c>
      <c r="D23" s="149" t="s">
        <v>787</v>
      </c>
      <c r="E23" s="189" t="s">
        <v>250</v>
      </c>
      <c r="F23" s="138" t="s">
        <v>798</v>
      </c>
      <c r="G23" s="334"/>
      <c r="H23" s="334"/>
      <c r="I23" s="334"/>
      <c r="J23" s="149"/>
      <c r="K23" s="149"/>
      <c r="L23" s="149"/>
      <c r="M23" s="149"/>
      <c r="N23" s="149"/>
      <c r="O23" s="149"/>
      <c r="P23" s="149"/>
      <c r="Q23" s="149"/>
    </row>
    <row r="24" spans="1:17" x14ac:dyDescent="0.25">
      <c r="C24" s="333" t="s">
        <v>910</v>
      </c>
      <c r="D24" s="116" t="s">
        <v>793</v>
      </c>
      <c r="G24" s="116"/>
      <c r="H24" s="116"/>
      <c r="I24" s="116"/>
      <c r="J24" s="149"/>
      <c r="K24" s="149"/>
      <c r="L24" s="149"/>
      <c r="M24" s="149"/>
      <c r="N24" s="149"/>
      <c r="O24" s="149"/>
      <c r="P24" s="149"/>
      <c r="Q24" s="149"/>
    </row>
    <row r="25" spans="1:17" x14ac:dyDescent="0.25">
      <c r="C25" s="138" t="s">
        <v>250</v>
      </c>
      <c r="D25" s="141" t="s">
        <v>802</v>
      </c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</row>
    <row r="26" spans="1:17" x14ac:dyDescent="0.25">
      <c r="C26" s="138" t="s">
        <v>667</v>
      </c>
      <c r="D26" s="189">
        <v>1</v>
      </c>
      <c r="E26" s="189" t="s">
        <v>250</v>
      </c>
      <c r="F26" s="138">
        <v>1</v>
      </c>
      <c r="G26" s="189"/>
      <c r="H26" s="189"/>
      <c r="I26" s="189"/>
      <c r="J26" s="189"/>
      <c r="K26" s="189"/>
      <c r="L26" s="189"/>
      <c r="M26" s="189"/>
      <c r="N26" s="189"/>
      <c r="O26" s="189"/>
      <c r="P26" s="189"/>
      <c r="Q26" s="189"/>
    </row>
    <row r="27" spans="1:17" x14ac:dyDescent="0.25">
      <c r="C27" s="138" t="s">
        <v>668</v>
      </c>
      <c r="D27" s="189">
        <v>1</v>
      </c>
      <c r="E27" s="189" t="s">
        <v>250</v>
      </c>
      <c r="F27" s="138">
        <v>2</v>
      </c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</row>
    <row r="28" spans="1:17" x14ac:dyDescent="0.25">
      <c r="C28" s="138" t="s">
        <v>814</v>
      </c>
      <c r="D28" s="189">
        <v>1</v>
      </c>
      <c r="E28" s="189" t="s">
        <v>250</v>
      </c>
      <c r="F28" s="138">
        <v>3</v>
      </c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</row>
    <row r="29" spans="1:17" x14ac:dyDescent="0.25">
      <c r="C29" s="138" t="s">
        <v>815</v>
      </c>
      <c r="D29" s="189">
        <v>1</v>
      </c>
      <c r="E29" s="189" t="s">
        <v>250</v>
      </c>
      <c r="F29" s="138">
        <v>4</v>
      </c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</row>
    <row r="30" spans="1:17" x14ac:dyDescent="0.25">
      <c r="C30" s="138" t="s">
        <v>816</v>
      </c>
      <c r="D30" s="189">
        <v>1</v>
      </c>
      <c r="E30" s="189" t="s">
        <v>250</v>
      </c>
      <c r="F30" s="138">
        <v>5</v>
      </c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</row>
    <row r="31" spans="1:17" x14ac:dyDescent="0.25">
      <c r="C31" s="138" t="s">
        <v>817</v>
      </c>
      <c r="D31" s="189">
        <v>1</v>
      </c>
      <c r="E31" s="189" t="s">
        <v>250</v>
      </c>
      <c r="F31" s="138">
        <v>6</v>
      </c>
      <c r="G31" s="189"/>
      <c r="H31" s="189"/>
      <c r="I31" s="189"/>
      <c r="J31" s="189"/>
      <c r="K31" s="189"/>
      <c r="L31" s="189"/>
      <c r="M31" s="189"/>
      <c r="N31" s="189"/>
      <c r="O31" s="189"/>
      <c r="P31" s="189"/>
      <c r="Q31" s="189"/>
    </row>
    <row r="32" spans="1:17" x14ac:dyDescent="0.25">
      <c r="C32" s="138" t="s">
        <v>818</v>
      </c>
      <c r="D32" s="189">
        <v>1</v>
      </c>
      <c r="E32" s="189" t="s">
        <v>250</v>
      </c>
      <c r="F32" s="138">
        <v>7</v>
      </c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</row>
    <row r="33" spans="3:17" x14ac:dyDescent="0.25">
      <c r="C33" s="138" t="s">
        <v>819</v>
      </c>
      <c r="D33" s="189">
        <v>1</v>
      </c>
      <c r="E33" s="189" t="s">
        <v>250</v>
      </c>
      <c r="F33" s="138">
        <v>8</v>
      </c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</row>
    <row r="34" spans="3:17" x14ac:dyDescent="0.25">
      <c r="C34" s="138" t="s">
        <v>820</v>
      </c>
      <c r="D34" s="189">
        <v>1</v>
      </c>
      <c r="E34" s="189" t="s">
        <v>250</v>
      </c>
      <c r="F34" s="138">
        <v>9</v>
      </c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</row>
    <row r="35" spans="3:17" x14ac:dyDescent="0.25">
      <c r="C35" s="138" t="s">
        <v>821</v>
      </c>
      <c r="D35" s="189">
        <v>0</v>
      </c>
      <c r="E35" s="189" t="s">
        <v>250</v>
      </c>
      <c r="F35" s="138">
        <v>10</v>
      </c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</row>
    <row r="36" spans="3:17" x14ac:dyDescent="0.25">
      <c r="C36" s="138" t="s">
        <v>822</v>
      </c>
      <c r="D36" s="189">
        <v>0</v>
      </c>
      <c r="E36" s="189" t="s">
        <v>250</v>
      </c>
      <c r="F36" s="138">
        <v>11</v>
      </c>
      <c r="G36" s="189"/>
      <c r="H36" s="189"/>
      <c r="I36" s="189"/>
      <c r="J36" s="189"/>
      <c r="K36" s="189"/>
      <c r="L36" s="189"/>
      <c r="M36" s="189"/>
      <c r="N36" s="189"/>
      <c r="O36" s="189"/>
      <c r="P36" s="189"/>
      <c r="Q36" s="189"/>
    </row>
    <row r="37" spans="3:17" x14ac:dyDescent="0.25">
      <c r="C37" s="138" t="s">
        <v>929</v>
      </c>
      <c r="D37" s="189">
        <v>0</v>
      </c>
      <c r="E37" s="189" t="s">
        <v>250</v>
      </c>
      <c r="F37" s="138">
        <v>12</v>
      </c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</row>
    <row r="38" spans="3:17" x14ac:dyDescent="0.25">
      <c r="C38" s="138" t="s">
        <v>823</v>
      </c>
      <c r="D38" s="189">
        <v>1</v>
      </c>
      <c r="E38" s="189" t="s">
        <v>250</v>
      </c>
      <c r="F38" s="138">
        <v>13</v>
      </c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</row>
    <row r="39" spans="3:17" x14ac:dyDescent="0.25">
      <c r="C39" s="138" t="s">
        <v>529</v>
      </c>
      <c r="D39" s="189">
        <v>1</v>
      </c>
      <c r="E39" s="189" t="s">
        <v>250</v>
      </c>
      <c r="F39" s="138">
        <v>14</v>
      </c>
      <c r="G39" s="189"/>
      <c r="H39" s="189"/>
      <c r="I39" s="189"/>
      <c r="J39" s="189"/>
      <c r="K39" s="189"/>
      <c r="L39" s="189"/>
      <c r="M39" s="189"/>
      <c r="N39" s="189"/>
      <c r="O39" s="189"/>
      <c r="P39" s="189"/>
      <c r="Q39" s="189"/>
    </row>
    <row r="40" spans="3:17" x14ac:dyDescent="0.25">
      <c r="C40" s="138" t="s">
        <v>824</v>
      </c>
      <c r="D40" s="189">
        <v>1</v>
      </c>
      <c r="E40" s="189" t="s">
        <v>250</v>
      </c>
      <c r="F40" s="138">
        <v>15</v>
      </c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189"/>
    </row>
    <row r="41" spans="3:17" x14ac:dyDescent="0.25">
      <c r="C41" s="138" t="s">
        <v>825</v>
      </c>
      <c r="D41" s="189">
        <v>1</v>
      </c>
      <c r="E41" s="189" t="s">
        <v>250</v>
      </c>
      <c r="F41" s="138">
        <v>16</v>
      </c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</row>
    <row r="42" spans="3:17" x14ac:dyDescent="0.25">
      <c r="C42" s="138" t="s">
        <v>826</v>
      </c>
      <c r="D42" s="189">
        <v>0</v>
      </c>
      <c r="E42" s="189" t="s">
        <v>250</v>
      </c>
      <c r="F42" s="138">
        <v>17</v>
      </c>
      <c r="G42" s="189"/>
      <c r="H42" s="189"/>
      <c r="I42" s="189"/>
      <c r="J42" s="189"/>
      <c r="K42" s="189"/>
      <c r="L42" s="189"/>
      <c r="M42" s="189"/>
      <c r="N42" s="189"/>
      <c r="O42" s="189"/>
      <c r="P42" s="189"/>
      <c r="Q42" s="189"/>
    </row>
    <row r="43" spans="3:17" x14ac:dyDescent="0.25">
      <c r="C43" s="138" t="s">
        <v>827</v>
      </c>
      <c r="D43" s="189">
        <v>1</v>
      </c>
      <c r="E43" s="189" t="s">
        <v>250</v>
      </c>
      <c r="F43" s="138">
        <v>18</v>
      </c>
      <c r="G43" s="189"/>
      <c r="H43" s="189"/>
      <c r="I43" s="189"/>
      <c r="J43" s="189"/>
      <c r="K43" s="189"/>
      <c r="L43" s="189"/>
      <c r="M43" s="189"/>
      <c r="N43" s="189"/>
      <c r="O43" s="189"/>
      <c r="P43" s="189"/>
      <c r="Q43" s="189"/>
    </row>
    <row r="44" spans="3:17" x14ac:dyDescent="0.25">
      <c r="C44" s="138" t="s">
        <v>930</v>
      </c>
      <c r="D44" s="189">
        <v>0</v>
      </c>
      <c r="E44" s="189" t="s">
        <v>250</v>
      </c>
      <c r="F44" s="138">
        <v>19</v>
      </c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</row>
    <row r="45" spans="3:17" x14ac:dyDescent="0.25">
      <c r="C45" s="138" t="s">
        <v>828</v>
      </c>
      <c r="D45" s="189">
        <v>1</v>
      </c>
      <c r="E45" s="189" t="s">
        <v>250</v>
      </c>
      <c r="F45" s="138">
        <v>20</v>
      </c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</row>
    <row r="46" spans="3:17" x14ac:dyDescent="0.25">
      <c r="C46" s="138" t="s">
        <v>829</v>
      </c>
      <c r="D46" s="189">
        <v>1</v>
      </c>
      <c r="E46" s="189" t="s">
        <v>250</v>
      </c>
      <c r="F46" s="138">
        <v>21</v>
      </c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</row>
    <row r="47" spans="3:17" x14ac:dyDescent="0.25">
      <c r="C47" s="138" t="s">
        <v>830</v>
      </c>
      <c r="D47" s="189">
        <v>1</v>
      </c>
      <c r="E47" s="189" t="s">
        <v>250</v>
      </c>
      <c r="F47" s="138">
        <v>22</v>
      </c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</row>
    <row r="48" spans="3:17" x14ac:dyDescent="0.25">
      <c r="C48" s="138" t="s">
        <v>831</v>
      </c>
      <c r="D48" s="189">
        <v>1</v>
      </c>
      <c r="E48" s="189" t="s">
        <v>250</v>
      </c>
      <c r="F48" s="138">
        <v>23</v>
      </c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</row>
    <row r="49" spans="3:17" x14ac:dyDescent="0.25">
      <c r="C49" s="138" t="s">
        <v>832</v>
      </c>
      <c r="D49" s="189">
        <v>1</v>
      </c>
      <c r="E49" s="189" t="s">
        <v>250</v>
      </c>
      <c r="F49" s="138">
        <v>24</v>
      </c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</row>
    <row r="50" spans="3:17" x14ac:dyDescent="0.25">
      <c r="C50" s="138" t="s">
        <v>833</v>
      </c>
      <c r="D50" s="189">
        <v>1</v>
      </c>
      <c r="E50" s="189" t="s">
        <v>250</v>
      </c>
      <c r="F50" s="138">
        <v>25</v>
      </c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</row>
    <row r="51" spans="3:17" x14ac:dyDescent="0.25">
      <c r="C51" s="138" t="s">
        <v>834</v>
      </c>
      <c r="D51" s="189">
        <v>1</v>
      </c>
      <c r="E51" s="189" t="s">
        <v>250</v>
      </c>
      <c r="F51" s="138">
        <v>26</v>
      </c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</row>
    <row r="52" spans="3:17" x14ac:dyDescent="0.25">
      <c r="C52" s="138" t="s">
        <v>835</v>
      </c>
      <c r="D52" s="189">
        <v>0</v>
      </c>
      <c r="E52" s="189" t="s">
        <v>250</v>
      </c>
      <c r="F52" s="138">
        <v>27</v>
      </c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</row>
    <row r="53" spans="3:17" x14ac:dyDescent="0.25">
      <c r="C53" s="138" t="s">
        <v>836</v>
      </c>
      <c r="D53" s="189">
        <v>1</v>
      </c>
      <c r="E53" s="189" t="s">
        <v>250</v>
      </c>
      <c r="F53" s="138">
        <v>28</v>
      </c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</row>
    <row r="54" spans="3:17" x14ac:dyDescent="0.25">
      <c r="C54" s="138" t="s">
        <v>837</v>
      </c>
      <c r="D54" s="189">
        <v>1</v>
      </c>
      <c r="E54" s="189" t="s">
        <v>250</v>
      </c>
      <c r="F54" s="138">
        <v>29</v>
      </c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</row>
    <row r="55" spans="3:17" x14ac:dyDescent="0.25">
      <c r="C55" s="138" t="s">
        <v>838</v>
      </c>
      <c r="D55" s="189">
        <v>1</v>
      </c>
      <c r="E55" s="189" t="s">
        <v>250</v>
      </c>
      <c r="F55" s="138">
        <v>30</v>
      </c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</row>
    <row r="56" spans="3:17" x14ac:dyDescent="0.25">
      <c r="C56" s="138" t="s">
        <v>839</v>
      </c>
      <c r="D56" s="189">
        <v>0</v>
      </c>
      <c r="E56" s="189" t="s">
        <v>250</v>
      </c>
      <c r="F56" s="138">
        <v>31</v>
      </c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</row>
    <row r="57" spans="3:17" x14ac:dyDescent="0.25">
      <c r="C57" s="138" t="s">
        <v>840</v>
      </c>
      <c r="D57" s="189">
        <v>1</v>
      </c>
      <c r="E57" s="189" t="s">
        <v>250</v>
      </c>
      <c r="F57" s="138">
        <v>32</v>
      </c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</row>
    <row r="58" spans="3:17" x14ac:dyDescent="0.25">
      <c r="C58" s="138" t="s">
        <v>841</v>
      </c>
      <c r="D58" s="189">
        <v>1</v>
      </c>
      <c r="E58" s="189" t="s">
        <v>250</v>
      </c>
      <c r="F58" s="138">
        <v>33</v>
      </c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</row>
    <row r="59" spans="3:17" x14ac:dyDescent="0.25">
      <c r="C59" s="138" t="s">
        <v>842</v>
      </c>
      <c r="D59" s="189" t="s">
        <v>931</v>
      </c>
      <c r="E59" s="189" t="s">
        <v>250</v>
      </c>
      <c r="F59" s="138">
        <v>34</v>
      </c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</row>
    <row r="60" spans="3:17" x14ac:dyDescent="0.25">
      <c r="C60" s="138" t="s">
        <v>843</v>
      </c>
      <c r="D60" s="189">
        <v>1</v>
      </c>
      <c r="E60" s="189" t="s">
        <v>250</v>
      </c>
      <c r="F60" s="138">
        <v>35</v>
      </c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</row>
    <row r="61" spans="3:17" x14ac:dyDescent="0.25">
      <c r="C61" s="138" t="s">
        <v>844</v>
      </c>
      <c r="D61" s="189">
        <v>1</v>
      </c>
      <c r="E61" s="189" t="s">
        <v>250</v>
      </c>
      <c r="F61" s="138">
        <v>36</v>
      </c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</row>
    <row r="62" spans="3:17" x14ac:dyDescent="0.25">
      <c r="C62" s="138" t="s">
        <v>845</v>
      </c>
      <c r="D62" s="189">
        <v>1</v>
      </c>
      <c r="E62" s="189" t="s">
        <v>250</v>
      </c>
      <c r="F62" s="138">
        <v>37</v>
      </c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</row>
    <row r="63" spans="3:17" x14ac:dyDescent="0.25">
      <c r="C63" s="138" t="s">
        <v>846</v>
      </c>
      <c r="D63" s="189">
        <v>1</v>
      </c>
      <c r="E63" s="189" t="s">
        <v>250</v>
      </c>
      <c r="F63" s="138">
        <v>38</v>
      </c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</row>
    <row r="64" spans="3:17" x14ac:dyDescent="0.25">
      <c r="C64" s="138" t="s">
        <v>847</v>
      </c>
      <c r="D64" s="189">
        <v>1</v>
      </c>
      <c r="E64" s="189" t="s">
        <v>250</v>
      </c>
      <c r="F64" s="138">
        <v>39</v>
      </c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</row>
    <row r="65" spans="3:17" x14ac:dyDescent="0.25">
      <c r="C65" s="138" t="s">
        <v>848</v>
      </c>
      <c r="D65" s="189">
        <v>1</v>
      </c>
      <c r="E65" s="189" t="s">
        <v>250</v>
      </c>
      <c r="F65" s="138">
        <v>40</v>
      </c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</row>
    <row r="66" spans="3:17" x14ac:dyDescent="0.25">
      <c r="C66" s="138" t="s">
        <v>849</v>
      </c>
      <c r="D66" s="189">
        <v>1</v>
      </c>
      <c r="E66" s="189" t="s">
        <v>250</v>
      </c>
      <c r="F66" s="138">
        <v>41</v>
      </c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</row>
    <row r="67" spans="3:17" x14ac:dyDescent="0.25">
      <c r="C67" s="138" t="s">
        <v>850</v>
      </c>
      <c r="D67" s="189">
        <v>1</v>
      </c>
      <c r="E67" s="189" t="s">
        <v>250</v>
      </c>
      <c r="F67" s="138">
        <v>42</v>
      </c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</row>
    <row r="68" spans="3:17" x14ac:dyDescent="0.25">
      <c r="C68" s="138" t="s">
        <v>851</v>
      </c>
      <c r="D68" s="189">
        <v>1</v>
      </c>
      <c r="E68" s="189" t="s">
        <v>250</v>
      </c>
      <c r="F68" s="138">
        <v>43</v>
      </c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</row>
    <row r="69" spans="3:17" x14ac:dyDescent="0.25">
      <c r="C69" s="138" t="s">
        <v>852</v>
      </c>
      <c r="D69" s="189">
        <v>1</v>
      </c>
      <c r="E69" s="189" t="s">
        <v>250</v>
      </c>
      <c r="F69" s="138">
        <v>44</v>
      </c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</row>
    <row r="70" spans="3:17" x14ac:dyDescent="0.25">
      <c r="C70" s="138" t="s">
        <v>853</v>
      </c>
      <c r="D70" s="189">
        <v>1</v>
      </c>
      <c r="E70" s="189" t="s">
        <v>250</v>
      </c>
      <c r="F70" s="138">
        <v>45</v>
      </c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</row>
    <row r="71" spans="3:17" x14ac:dyDescent="0.25">
      <c r="C71" s="138" t="s">
        <v>854</v>
      </c>
      <c r="D71" s="189">
        <v>1</v>
      </c>
      <c r="E71" s="189" t="s">
        <v>250</v>
      </c>
      <c r="F71" s="138">
        <v>46</v>
      </c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</row>
    <row r="72" spans="3:17" x14ac:dyDescent="0.25">
      <c r="C72" s="138" t="s">
        <v>855</v>
      </c>
      <c r="D72" s="189">
        <v>1</v>
      </c>
      <c r="E72" s="189" t="s">
        <v>250</v>
      </c>
      <c r="F72" s="138">
        <v>47</v>
      </c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</row>
    <row r="73" spans="3:17" x14ac:dyDescent="0.25">
      <c r="C73" s="138" t="s">
        <v>856</v>
      </c>
      <c r="D73" s="189">
        <v>1</v>
      </c>
      <c r="E73" s="189" t="s">
        <v>250</v>
      </c>
      <c r="F73" s="138">
        <v>48</v>
      </c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</row>
    <row r="74" spans="3:17" x14ac:dyDescent="0.25">
      <c r="C74" s="138" t="s">
        <v>857</v>
      </c>
      <c r="D74" s="189">
        <v>1</v>
      </c>
      <c r="E74" s="189" t="s">
        <v>250</v>
      </c>
      <c r="F74" s="138">
        <v>49</v>
      </c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</row>
    <row r="75" spans="3:17" x14ac:dyDescent="0.25">
      <c r="C75" s="138" t="s">
        <v>858</v>
      </c>
      <c r="D75" s="189">
        <v>1</v>
      </c>
      <c r="E75" s="189" t="s">
        <v>250</v>
      </c>
      <c r="F75" s="138">
        <v>50</v>
      </c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</row>
    <row r="76" spans="3:17" x14ac:dyDescent="0.25">
      <c r="C76" s="138" t="s">
        <v>859</v>
      </c>
      <c r="D76" s="189">
        <v>1</v>
      </c>
      <c r="E76" s="189" t="s">
        <v>250</v>
      </c>
      <c r="F76" s="138">
        <v>51</v>
      </c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</row>
    <row r="77" spans="3:17" x14ac:dyDescent="0.25">
      <c r="C77" s="138" t="s">
        <v>860</v>
      </c>
      <c r="D77" s="189">
        <v>1</v>
      </c>
      <c r="E77" s="189" t="s">
        <v>250</v>
      </c>
      <c r="F77" s="138">
        <v>52</v>
      </c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</row>
    <row r="78" spans="3:17" x14ac:dyDescent="0.25">
      <c r="C78" s="138" t="s">
        <v>861</v>
      </c>
      <c r="D78" s="189">
        <v>1</v>
      </c>
      <c r="E78" s="189" t="s">
        <v>250</v>
      </c>
      <c r="F78" s="138">
        <v>53</v>
      </c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</row>
    <row r="79" spans="3:17" x14ac:dyDescent="0.25">
      <c r="C79" s="138" t="s">
        <v>862</v>
      </c>
      <c r="D79" s="189">
        <v>1</v>
      </c>
      <c r="E79" s="189" t="s">
        <v>250</v>
      </c>
      <c r="F79" s="138">
        <v>54</v>
      </c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</row>
    <row r="80" spans="3:17" x14ac:dyDescent="0.25">
      <c r="C80" s="138" t="s">
        <v>863</v>
      </c>
      <c r="D80" s="189">
        <v>1</v>
      </c>
      <c r="E80" s="189" t="s">
        <v>250</v>
      </c>
      <c r="F80" s="138">
        <v>55</v>
      </c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</row>
    <row r="81" spans="3:17" x14ac:dyDescent="0.25">
      <c r="C81" s="138" t="s">
        <v>864</v>
      </c>
      <c r="D81" s="189">
        <v>1</v>
      </c>
      <c r="E81" s="189" t="s">
        <v>250</v>
      </c>
      <c r="F81" s="138">
        <v>56</v>
      </c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</row>
    <row r="82" spans="3:17" x14ac:dyDescent="0.25">
      <c r="C82" s="138" t="s">
        <v>865</v>
      </c>
      <c r="D82" s="189">
        <v>1</v>
      </c>
      <c r="E82" s="189" t="s">
        <v>250</v>
      </c>
      <c r="F82" s="138">
        <v>57</v>
      </c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</row>
    <row r="83" spans="3:17" x14ac:dyDescent="0.25">
      <c r="C83" s="138" t="s">
        <v>866</v>
      </c>
      <c r="D83" s="189">
        <v>1</v>
      </c>
      <c r="E83" s="189" t="s">
        <v>250</v>
      </c>
      <c r="F83" s="138">
        <v>58</v>
      </c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</row>
    <row r="84" spans="3:17" x14ac:dyDescent="0.25">
      <c r="C84" s="138" t="s">
        <v>867</v>
      </c>
      <c r="D84" s="189">
        <v>1</v>
      </c>
      <c r="E84" s="189" t="s">
        <v>250</v>
      </c>
      <c r="F84" s="138">
        <v>59</v>
      </c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</row>
    <row r="85" spans="3:17" x14ac:dyDescent="0.25">
      <c r="C85" s="138" t="s">
        <v>868</v>
      </c>
      <c r="D85" s="189">
        <v>1</v>
      </c>
      <c r="E85" s="189" t="s">
        <v>250</v>
      </c>
      <c r="F85" s="138">
        <v>60</v>
      </c>
    </row>
    <row r="86" spans="3:17" x14ac:dyDescent="0.25">
      <c r="C86" s="138" t="s">
        <v>869</v>
      </c>
      <c r="D86" s="189">
        <v>1</v>
      </c>
      <c r="E86" s="189" t="s">
        <v>250</v>
      </c>
      <c r="F86" s="138">
        <v>61</v>
      </c>
    </row>
    <row r="87" spans="3:17" x14ac:dyDescent="0.25">
      <c r="C87" s="138" t="s">
        <v>870</v>
      </c>
      <c r="D87" s="189">
        <v>1</v>
      </c>
      <c r="E87" s="189" t="s">
        <v>250</v>
      </c>
      <c r="F87" s="138">
        <v>62</v>
      </c>
    </row>
    <row r="88" spans="3:17" x14ac:dyDescent="0.25">
      <c r="C88" s="138" t="s">
        <v>871</v>
      </c>
      <c r="D88" s="189">
        <v>1</v>
      </c>
      <c r="E88" s="189" t="s">
        <v>250</v>
      </c>
      <c r="F88" s="138">
        <v>63</v>
      </c>
    </row>
    <row r="89" spans="3:17" x14ac:dyDescent="0.25">
      <c r="C89" s="138" t="s">
        <v>872</v>
      </c>
      <c r="D89" s="189">
        <v>1</v>
      </c>
      <c r="E89" s="189" t="s">
        <v>250</v>
      </c>
      <c r="F89" s="138">
        <v>64</v>
      </c>
    </row>
    <row r="90" spans="3:17" x14ac:dyDescent="0.25">
      <c r="C90" s="138" t="s">
        <v>873</v>
      </c>
      <c r="D90" s="189">
        <v>1</v>
      </c>
      <c r="E90" s="189" t="s">
        <v>250</v>
      </c>
      <c r="F90" s="138">
        <v>65</v>
      </c>
    </row>
    <row r="91" spans="3:17" x14ac:dyDescent="0.25">
      <c r="C91" s="138" t="s">
        <v>874</v>
      </c>
      <c r="D91" s="189">
        <v>1</v>
      </c>
      <c r="E91" s="189" t="s">
        <v>250</v>
      </c>
      <c r="F91" s="138">
        <v>66</v>
      </c>
    </row>
    <row r="92" spans="3:17" x14ac:dyDescent="0.25">
      <c r="C92" s="138" t="s">
        <v>875</v>
      </c>
      <c r="D92" s="189">
        <v>1</v>
      </c>
      <c r="E92" s="189" t="s">
        <v>250</v>
      </c>
      <c r="F92" s="138">
        <v>67</v>
      </c>
    </row>
    <row r="93" spans="3:17" x14ac:dyDescent="0.25">
      <c r="C93" s="138" t="s">
        <v>876</v>
      </c>
      <c r="D93" s="189">
        <v>1</v>
      </c>
      <c r="E93" s="189" t="s">
        <v>250</v>
      </c>
      <c r="F93" s="138">
        <v>68</v>
      </c>
    </row>
    <row r="94" spans="3:17" x14ac:dyDescent="0.25">
      <c r="C94" s="138" t="s">
        <v>877</v>
      </c>
      <c r="D94" s="189">
        <v>1</v>
      </c>
      <c r="E94" s="189" t="s">
        <v>250</v>
      </c>
      <c r="F94" s="138">
        <v>69</v>
      </c>
    </row>
    <row r="95" spans="3:17" x14ac:dyDescent="0.25">
      <c r="C95" s="138" t="s">
        <v>878</v>
      </c>
      <c r="D95" s="189">
        <v>1</v>
      </c>
      <c r="E95" s="189" t="s">
        <v>250</v>
      </c>
      <c r="F95" s="138">
        <v>70</v>
      </c>
    </row>
    <row r="96" spans="3:17" x14ac:dyDescent="0.25">
      <c r="C96" s="138" t="s">
        <v>879</v>
      </c>
      <c r="D96" s="189">
        <v>1</v>
      </c>
      <c r="E96" s="189" t="s">
        <v>250</v>
      </c>
      <c r="F96" s="138">
        <v>71</v>
      </c>
    </row>
    <row r="97" spans="3:6" x14ac:dyDescent="0.25">
      <c r="C97" s="138" t="s">
        <v>880</v>
      </c>
      <c r="D97" s="189">
        <v>1</v>
      </c>
      <c r="E97" s="189" t="s">
        <v>250</v>
      </c>
      <c r="F97" s="138">
        <v>72</v>
      </c>
    </row>
    <row r="98" spans="3:6" x14ac:dyDescent="0.25">
      <c r="C98" s="138" t="s">
        <v>881</v>
      </c>
      <c r="D98" s="189">
        <v>1</v>
      </c>
      <c r="E98" s="189" t="s">
        <v>250</v>
      </c>
      <c r="F98" s="138">
        <v>73</v>
      </c>
    </row>
    <row r="99" spans="3:6" x14ac:dyDescent="0.25">
      <c r="C99" s="138" t="s">
        <v>882</v>
      </c>
      <c r="D99" s="189">
        <v>1</v>
      </c>
      <c r="E99" s="189" t="s">
        <v>250</v>
      </c>
      <c r="F99" s="138">
        <v>74</v>
      </c>
    </row>
    <row r="100" spans="3:6" x14ac:dyDescent="0.25">
      <c r="C100" s="138" t="s">
        <v>883</v>
      </c>
      <c r="D100" s="189">
        <v>1</v>
      </c>
      <c r="E100" s="189" t="s">
        <v>250</v>
      </c>
      <c r="F100" s="138">
        <v>75</v>
      </c>
    </row>
    <row r="101" spans="3:6" x14ac:dyDescent="0.25">
      <c r="C101" s="138" t="s">
        <v>884</v>
      </c>
      <c r="D101" s="189">
        <v>1</v>
      </c>
      <c r="E101" s="189" t="s">
        <v>250</v>
      </c>
      <c r="F101" s="138">
        <v>76</v>
      </c>
    </row>
    <row r="102" spans="3:6" x14ac:dyDescent="0.25">
      <c r="C102" s="138" t="s">
        <v>885</v>
      </c>
      <c r="D102" s="189">
        <v>1</v>
      </c>
      <c r="E102" s="189" t="s">
        <v>250</v>
      </c>
      <c r="F102" s="138">
        <v>77</v>
      </c>
    </row>
    <row r="103" spans="3:6" x14ac:dyDescent="0.25">
      <c r="C103" s="138" t="s">
        <v>886</v>
      </c>
      <c r="D103" s="189">
        <v>1</v>
      </c>
      <c r="E103" s="189" t="s">
        <v>250</v>
      </c>
      <c r="F103" s="138">
        <v>78</v>
      </c>
    </row>
    <row r="104" spans="3:6" x14ac:dyDescent="0.25">
      <c r="C104" s="138" t="s">
        <v>887</v>
      </c>
      <c r="D104" s="189">
        <v>1</v>
      </c>
      <c r="E104" s="189" t="s">
        <v>250</v>
      </c>
      <c r="F104" s="138">
        <v>79</v>
      </c>
    </row>
    <row r="105" spans="3:6" x14ac:dyDescent="0.25">
      <c r="C105" s="138" t="s">
        <v>888</v>
      </c>
      <c r="D105" s="189">
        <v>1</v>
      </c>
      <c r="E105" s="189" t="s">
        <v>250</v>
      </c>
      <c r="F105" s="138">
        <v>80</v>
      </c>
    </row>
    <row r="106" spans="3:6" x14ac:dyDescent="0.25">
      <c r="C106" s="138" t="s">
        <v>889</v>
      </c>
      <c r="D106" s="189">
        <v>1</v>
      </c>
      <c r="E106" s="189" t="s">
        <v>250</v>
      </c>
      <c r="F106" s="138">
        <v>81</v>
      </c>
    </row>
    <row r="107" spans="3:6" x14ac:dyDescent="0.25">
      <c r="C107" s="138" t="s">
        <v>890</v>
      </c>
      <c r="D107" s="189">
        <v>1</v>
      </c>
      <c r="E107" s="189" t="s">
        <v>250</v>
      </c>
      <c r="F107" s="138">
        <v>82</v>
      </c>
    </row>
    <row r="108" spans="3:6" x14ac:dyDescent="0.25">
      <c r="C108" s="138" t="s">
        <v>891</v>
      </c>
      <c r="D108" s="189">
        <v>1</v>
      </c>
      <c r="E108" s="189" t="s">
        <v>250</v>
      </c>
      <c r="F108" s="138">
        <v>83</v>
      </c>
    </row>
    <row r="109" spans="3:6" x14ac:dyDescent="0.25">
      <c r="C109" s="138" t="s">
        <v>892</v>
      </c>
      <c r="D109" s="189">
        <v>1</v>
      </c>
      <c r="E109" s="189" t="s">
        <v>250</v>
      </c>
      <c r="F109" s="138">
        <v>84</v>
      </c>
    </row>
    <row r="110" spans="3:6" x14ac:dyDescent="0.25">
      <c r="C110" s="138" t="s">
        <v>893</v>
      </c>
      <c r="D110" s="189">
        <v>1</v>
      </c>
      <c r="E110" s="189" t="s">
        <v>250</v>
      </c>
      <c r="F110" s="138">
        <v>85</v>
      </c>
    </row>
    <row r="111" spans="3:6" x14ac:dyDescent="0.25">
      <c r="C111" s="138" t="s">
        <v>894</v>
      </c>
      <c r="D111" s="189">
        <v>1</v>
      </c>
      <c r="E111" s="189" t="s">
        <v>250</v>
      </c>
      <c r="F111" s="138">
        <v>86</v>
      </c>
    </row>
    <row r="112" spans="3:6" x14ac:dyDescent="0.25">
      <c r="C112" s="138" t="s">
        <v>895</v>
      </c>
      <c r="D112" s="189">
        <v>0</v>
      </c>
      <c r="E112" s="189" t="s">
        <v>250</v>
      </c>
      <c r="F112" s="138">
        <v>87</v>
      </c>
    </row>
    <row r="113" spans="2:6" x14ac:dyDescent="0.25">
      <c r="C113" s="138" t="s">
        <v>896</v>
      </c>
      <c r="D113" s="189">
        <v>1</v>
      </c>
      <c r="E113" s="189" t="s">
        <v>250</v>
      </c>
      <c r="F113" s="138">
        <v>88</v>
      </c>
    </row>
    <row r="114" spans="2:6" x14ac:dyDescent="0.25">
      <c r="C114" s="138" t="s">
        <v>897</v>
      </c>
      <c r="D114" s="189">
        <v>1</v>
      </c>
      <c r="E114" s="189" t="s">
        <v>250</v>
      </c>
      <c r="F114" s="138">
        <v>89</v>
      </c>
    </row>
    <row r="115" spans="2:6" x14ac:dyDescent="0.25">
      <c r="C115" s="138" t="s">
        <v>898</v>
      </c>
      <c r="D115" s="189">
        <v>1</v>
      </c>
      <c r="E115" s="189" t="s">
        <v>250</v>
      </c>
      <c r="F115" s="138">
        <v>90</v>
      </c>
    </row>
    <row r="116" spans="2:6" x14ac:dyDescent="0.25">
      <c r="C116" s="138" t="s">
        <v>899</v>
      </c>
      <c r="D116" s="189">
        <v>1</v>
      </c>
      <c r="E116" s="189" t="s">
        <v>250</v>
      </c>
      <c r="F116" s="138">
        <v>91</v>
      </c>
    </row>
    <row r="117" spans="2:6" x14ac:dyDescent="0.25">
      <c r="C117" s="138" t="s">
        <v>900</v>
      </c>
      <c r="D117" s="189">
        <v>1</v>
      </c>
      <c r="E117" s="189" t="s">
        <v>250</v>
      </c>
      <c r="F117" s="138">
        <v>92</v>
      </c>
    </row>
    <row r="118" spans="2:6" x14ac:dyDescent="0.25">
      <c r="C118" s="138" t="s">
        <v>901</v>
      </c>
      <c r="D118" s="189">
        <v>1</v>
      </c>
      <c r="E118" s="189" t="s">
        <v>250</v>
      </c>
      <c r="F118" s="138">
        <v>93</v>
      </c>
    </row>
    <row r="119" spans="2:6" x14ac:dyDescent="0.25">
      <c r="C119" s="138" t="s">
        <v>902</v>
      </c>
      <c r="D119" s="189">
        <v>1</v>
      </c>
      <c r="E119" s="189" t="s">
        <v>250</v>
      </c>
      <c r="F119" s="138">
        <v>94</v>
      </c>
    </row>
    <row r="120" spans="2:6" x14ac:dyDescent="0.25">
      <c r="C120" s="138" t="s">
        <v>903</v>
      </c>
      <c r="D120" s="189">
        <v>1</v>
      </c>
      <c r="E120" s="189" t="s">
        <v>250</v>
      </c>
      <c r="F120" s="138">
        <v>95</v>
      </c>
    </row>
    <row r="121" spans="2:6" x14ac:dyDescent="0.25">
      <c r="C121" s="138" t="s">
        <v>904</v>
      </c>
      <c r="D121" s="189">
        <v>1</v>
      </c>
      <c r="E121" s="189" t="s">
        <v>250</v>
      </c>
      <c r="F121" s="138">
        <v>96</v>
      </c>
    </row>
    <row r="122" spans="2:6" x14ac:dyDescent="0.25">
      <c r="C122" s="138" t="s">
        <v>905</v>
      </c>
      <c r="D122" s="189">
        <v>1</v>
      </c>
      <c r="E122" s="189" t="s">
        <v>250</v>
      </c>
      <c r="F122" s="138">
        <v>97</v>
      </c>
    </row>
    <row r="123" spans="2:6" x14ac:dyDescent="0.25">
      <c r="C123" s="138" t="s">
        <v>906</v>
      </c>
      <c r="D123" s="189">
        <v>1</v>
      </c>
      <c r="E123" s="189" t="s">
        <v>250</v>
      </c>
      <c r="F123" s="138">
        <v>98</v>
      </c>
    </row>
    <row r="124" spans="2:6" x14ac:dyDescent="0.25">
      <c r="C124" s="138" t="s">
        <v>907</v>
      </c>
      <c r="D124" s="189">
        <v>1</v>
      </c>
      <c r="E124" s="189" t="s">
        <v>250</v>
      </c>
      <c r="F124" s="138">
        <v>99</v>
      </c>
    </row>
    <row r="125" spans="2:6" x14ac:dyDescent="0.25">
      <c r="C125" s="138" t="s">
        <v>908</v>
      </c>
      <c r="D125" s="189">
        <v>-99</v>
      </c>
      <c r="E125" s="189" t="s">
        <v>250</v>
      </c>
      <c r="F125" s="138">
        <v>100</v>
      </c>
    </row>
    <row r="126" spans="2:6" x14ac:dyDescent="0.25">
      <c r="C126" s="138" t="s">
        <v>909</v>
      </c>
      <c r="D126" s="189">
        <v>-99</v>
      </c>
      <c r="E126" s="189" t="s">
        <v>250</v>
      </c>
      <c r="F126" s="138">
        <v>101</v>
      </c>
    </row>
    <row r="127" spans="2:6" x14ac:dyDescent="0.25">
      <c r="B127" s="138" t="s">
        <v>245</v>
      </c>
    </row>
  </sheetData>
  <conditionalFormatting sqref="D26:D126">
    <cfRule type="expression" dxfId="5" priority="1">
      <formula>D26="Addl. Criteria"</formula>
    </cfRule>
    <cfRule type="expression" dxfId="4" priority="2">
      <formula>D26=0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L33"/>
  <sheetViews>
    <sheetView workbookViewId="0">
      <selection activeCell="B1" sqref="B1"/>
    </sheetView>
  </sheetViews>
  <sheetFormatPr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924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357</v>
      </c>
    </row>
    <row r="4" spans="1:5" x14ac:dyDescent="0.25">
      <c r="A4" s="138" t="s">
        <v>250</v>
      </c>
      <c r="C4" s="138" t="s">
        <v>410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358</v>
      </c>
    </row>
    <row r="7" spans="1:5" x14ac:dyDescent="0.25">
      <c r="A7" s="138" t="s">
        <v>250</v>
      </c>
      <c r="C7" s="138" t="s">
        <v>263</v>
      </c>
      <c r="D7" s="138" t="s">
        <v>264</v>
      </c>
      <c r="E7" s="138" t="s">
        <v>265</v>
      </c>
    </row>
    <row r="8" spans="1:5" x14ac:dyDescent="0.25">
      <c r="A8" s="138" t="s">
        <v>250</v>
      </c>
      <c r="B8" s="141"/>
      <c r="C8" s="144">
        <v>41249</v>
      </c>
      <c r="D8" s="145" t="s">
        <v>411</v>
      </c>
      <c r="E8" s="138" t="s">
        <v>266</v>
      </c>
    </row>
    <row r="9" spans="1:5" x14ac:dyDescent="0.25">
      <c r="A9" s="138" t="s">
        <v>250</v>
      </c>
      <c r="B9" s="141"/>
      <c r="C9" s="144">
        <v>41428</v>
      </c>
      <c r="D9" s="145" t="s">
        <v>411</v>
      </c>
      <c r="E9" s="138" t="s">
        <v>546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267</v>
      </c>
    </row>
    <row r="12" spans="1:5" x14ac:dyDescent="0.25">
      <c r="A12" s="138" t="s">
        <v>250</v>
      </c>
      <c r="C12" s="138" t="s">
        <v>412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273</v>
      </c>
    </row>
    <row r="18" spans="1:12" x14ac:dyDescent="0.25">
      <c r="A18" s="138" t="s">
        <v>250</v>
      </c>
      <c r="C18" s="138" t="s">
        <v>422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366</v>
      </c>
    </row>
    <row r="22" spans="1:12" x14ac:dyDescent="0.25">
      <c r="A22" s="52"/>
      <c r="B22" s="148" t="s">
        <v>915</v>
      </c>
      <c r="C22" s="148"/>
      <c r="D22" s="52" t="s">
        <v>786</v>
      </c>
    </row>
    <row r="23" spans="1:12" x14ac:dyDescent="0.25">
      <c r="A23" s="52"/>
      <c r="B23" s="148"/>
      <c r="C23" s="148" t="s">
        <v>787</v>
      </c>
      <c r="D23" s="324" t="s">
        <v>421</v>
      </c>
      <c r="E23" s="56"/>
      <c r="F23" s="56"/>
      <c r="G23" s="56"/>
      <c r="H23" s="56"/>
      <c r="I23" s="56"/>
      <c r="J23" s="327"/>
      <c r="K23" s="327"/>
      <c r="L23" s="327"/>
    </row>
    <row r="24" spans="1:12" x14ac:dyDescent="0.25">
      <c r="A24" s="52"/>
      <c r="B24" s="52"/>
      <c r="C24" s="52" t="s">
        <v>413</v>
      </c>
      <c r="D24" s="170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A25" s="52"/>
      <c r="B25" s="52"/>
      <c r="C25" s="52" t="s">
        <v>414</v>
      </c>
      <c r="D25" s="170">
        <v>0.4</v>
      </c>
      <c r="E25" s="57"/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149" t="s">
        <v>415</v>
      </c>
      <c r="D26" s="170">
        <v>0.3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A27" s="52"/>
      <c r="B27" s="52"/>
      <c r="C27" s="52" t="s">
        <v>416</v>
      </c>
      <c r="D27" s="170">
        <v>0.2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417</v>
      </c>
      <c r="D28" s="170">
        <v>0.1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418</v>
      </c>
      <c r="D29" s="170">
        <v>0.2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419</v>
      </c>
      <c r="D30" s="170">
        <v>0.05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/>
      <c r="C31" s="52" t="s">
        <v>420</v>
      </c>
      <c r="D31" s="170">
        <v>0.25</v>
      </c>
      <c r="E31" s="57"/>
      <c r="F31" s="58"/>
      <c r="G31" s="58"/>
      <c r="H31" s="57"/>
      <c r="I31" s="58"/>
      <c r="J31" s="57"/>
      <c r="K31" s="57"/>
      <c r="L31" s="58"/>
    </row>
    <row r="32" spans="1:12" x14ac:dyDescent="0.25">
      <c r="A32" s="52"/>
      <c r="B32" s="52" t="s">
        <v>245</v>
      </c>
      <c r="C32" s="52"/>
      <c r="D32" s="52"/>
    </row>
    <row r="33" spans="1:4" x14ac:dyDescent="0.25">
      <c r="A33" s="325"/>
      <c r="B33" s="52"/>
      <c r="C33" s="52"/>
      <c r="D33" s="52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32"/>
  <sheetViews>
    <sheetView workbookViewId="0">
      <selection activeCell="B1" sqref="B1"/>
    </sheetView>
  </sheetViews>
  <sheetFormatPr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925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357</v>
      </c>
    </row>
    <row r="4" spans="1:5" x14ac:dyDescent="0.25">
      <c r="A4" s="138" t="s">
        <v>250</v>
      </c>
      <c r="C4" s="138" t="s">
        <v>410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358</v>
      </c>
    </row>
    <row r="7" spans="1:5" x14ac:dyDescent="0.25">
      <c r="A7" s="138" t="s">
        <v>250</v>
      </c>
      <c r="C7" s="138" t="s">
        <v>263</v>
      </c>
      <c r="D7" s="138" t="s">
        <v>264</v>
      </c>
      <c r="E7" s="138" t="s">
        <v>265</v>
      </c>
    </row>
    <row r="8" spans="1:5" x14ac:dyDescent="0.25">
      <c r="A8" s="138" t="s">
        <v>250</v>
      </c>
      <c r="B8" s="141"/>
      <c r="C8" s="144">
        <v>41249</v>
      </c>
      <c r="D8" s="145" t="s">
        <v>411</v>
      </c>
      <c r="E8" s="138" t="s">
        <v>266</v>
      </c>
    </row>
    <row r="9" spans="1:5" x14ac:dyDescent="0.25">
      <c r="A9" s="138" t="s">
        <v>250</v>
      </c>
      <c r="B9" s="141"/>
      <c r="C9" s="144">
        <v>41428</v>
      </c>
      <c r="D9" s="145" t="s">
        <v>411</v>
      </c>
      <c r="E9" s="138" t="s">
        <v>546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267</v>
      </c>
    </row>
    <row r="12" spans="1:5" x14ac:dyDescent="0.25">
      <c r="A12" s="138" t="s">
        <v>250</v>
      </c>
      <c r="C12" s="138" t="s">
        <v>412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273</v>
      </c>
    </row>
    <row r="18" spans="1:12" x14ac:dyDescent="0.25">
      <c r="A18" s="138" t="s">
        <v>250</v>
      </c>
      <c r="C18" s="138" t="s">
        <v>422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366</v>
      </c>
    </row>
    <row r="22" spans="1:12" x14ac:dyDescent="0.25">
      <c r="A22" s="52"/>
      <c r="B22" s="148" t="s">
        <v>915</v>
      </c>
      <c r="C22" s="148"/>
      <c r="D22" s="52" t="s">
        <v>786</v>
      </c>
    </row>
    <row r="23" spans="1:12" x14ac:dyDescent="0.25">
      <c r="A23" s="52"/>
      <c r="B23" s="148"/>
      <c r="C23" s="148" t="s">
        <v>787</v>
      </c>
      <c r="D23" s="324" t="s">
        <v>421</v>
      </c>
      <c r="E23" s="56" t="s">
        <v>421</v>
      </c>
      <c r="F23" s="56"/>
      <c r="G23" s="56"/>
      <c r="H23" s="56"/>
      <c r="I23" s="56"/>
      <c r="J23" s="327"/>
      <c r="K23" s="327"/>
      <c r="L23" s="327"/>
    </row>
    <row r="24" spans="1:12" ht="15.75" thickBot="1" x14ac:dyDescent="0.3">
      <c r="A24" s="52"/>
      <c r="B24" s="148"/>
      <c r="C24" s="339" t="s">
        <v>914</v>
      </c>
      <c r="D24" s="191">
        <v>1</v>
      </c>
      <c r="E24" s="340">
        <v>0</v>
      </c>
      <c r="F24" s="56"/>
      <c r="G24" s="56"/>
      <c r="H24" s="56"/>
      <c r="I24" s="56"/>
      <c r="J24" s="327"/>
      <c r="K24" s="327"/>
      <c r="L24" s="327"/>
    </row>
    <row r="25" spans="1:12" ht="15.75" thickTop="1" x14ac:dyDescent="0.25">
      <c r="A25" s="52"/>
      <c r="B25" s="52"/>
      <c r="C25" s="52" t="s">
        <v>911</v>
      </c>
      <c r="D25" s="170">
        <v>0.1</v>
      </c>
      <c r="E25" s="170">
        <v>0.1</v>
      </c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414</v>
      </c>
      <c r="D26" s="170">
        <v>0.4</v>
      </c>
      <c r="E26" s="170">
        <v>0.4</v>
      </c>
      <c r="F26" s="57"/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415</v>
      </c>
      <c r="D27" s="170">
        <v>0.3</v>
      </c>
      <c r="E27" s="170">
        <v>0.3</v>
      </c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416</v>
      </c>
      <c r="D28" s="170">
        <v>0.2</v>
      </c>
      <c r="E28" s="170">
        <v>0.2</v>
      </c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419</v>
      </c>
      <c r="D29" s="170">
        <v>0.05</v>
      </c>
      <c r="E29" s="170">
        <v>0.05</v>
      </c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913</v>
      </c>
      <c r="D30" s="170">
        <v>0.05</v>
      </c>
      <c r="E30" s="170">
        <v>0.1</v>
      </c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 t="s">
        <v>245</v>
      </c>
      <c r="C31" s="52"/>
      <c r="D31" s="52"/>
    </row>
    <row r="32" spans="1:12" x14ac:dyDescent="0.25">
      <c r="A32" s="325"/>
      <c r="B32" s="52"/>
      <c r="C32" s="52"/>
      <c r="D32" s="5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L29"/>
  <sheetViews>
    <sheetView workbookViewId="0">
      <selection activeCell="D36" sqref="D36"/>
    </sheetView>
  </sheetViews>
  <sheetFormatPr defaultRowHeight="15" x14ac:dyDescent="0.25"/>
  <cols>
    <col min="1" max="2" width="9.140625" style="138"/>
    <col min="3" max="3" width="59.28515625" style="138" customWidth="1"/>
    <col min="4" max="4" width="21" style="138" bestFit="1" customWidth="1"/>
    <col min="5" max="5" width="9" style="138" customWidth="1"/>
    <col min="6" max="6" width="3" style="138" customWidth="1"/>
    <col min="7" max="16384" width="9.140625" style="138"/>
  </cols>
  <sheetData>
    <row r="1" spans="1:5" x14ac:dyDescent="0.25">
      <c r="A1" s="138" t="s">
        <v>250</v>
      </c>
      <c r="B1" s="138" t="s">
        <v>788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357</v>
      </c>
    </row>
    <row r="4" spans="1:5" x14ac:dyDescent="0.25">
      <c r="A4" s="138" t="s">
        <v>250</v>
      </c>
      <c r="C4" s="138" t="s">
        <v>410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358</v>
      </c>
    </row>
    <row r="7" spans="1:5" x14ac:dyDescent="0.25">
      <c r="A7" s="138" t="s">
        <v>250</v>
      </c>
      <c r="C7" s="138" t="s">
        <v>263</v>
      </c>
      <c r="D7" s="138" t="s">
        <v>264</v>
      </c>
      <c r="E7" s="138" t="s">
        <v>265</v>
      </c>
    </row>
    <row r="8" spans="1:5" x14ac:dyDescent="0.25">
      <c r="A8" s="138" t="s">
        <v>250</v>
      </c>
      <c r="B8" s="141"/>
      <c r="C8" s="144">
        <v>41249</v>
      </c>
      <c r="D8" s="145" t="s">
        <v>411</v>
      </c>
      <c r="E8" s="138" t="s">
        <v>266</v>
      </c>
    </row>
    <row r="9" spans="1:5" x14ac:dyDescent="0.25">
      <c r="A9" s="138" t="s">
        <v>250</v>
      </c>
      <c r="B9" s="141"/>
      <c r="C9" s="144">
        <v>41428</v>
      </c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267</v>
      </c>
    </row>
    <row r="12" spans="1:5" x14ac:dyDescent="0.25">
      <c r="A12" s="138" t="s">
        <v>250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273</v>
      </c>
    </row>
    <row r="18" spans="1:12" x14ac:dyDescent="0.25">
      <c r="A18" s="138" t="s">
        <v>250</v>
      </c>
      <c r="C18" s="138" t="s">
        <v>422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366</v>
      </c>
    </row>
    <row r="22" spans="1:12" x14ac:dyDescent="0.25">
      <c r="A22" s="52"/>
      <c r="B22" s="148" t="s">
        <v>915</v>
      </c>
      <c r="C22" s="148"/>
      <c r="D22" s="52" t="s">
        <v>786</v>
      </c>
    </row>
    <row r="23" spans="1:12" x14ac:dyDescent="0.25">
      <c r="A23" s="52"/>
      <c r="B23" s="148"/>
      <c r="C23" s="148" t="s">
        <v>787</v>
      </c>
      <c r="D23" s="324" t="s">
        <v>421</v>
      </c>
      <c r="E23" s="56" t="s">
        <v>421</v>
      </c>
      <c r="F23" s="56"/>
      <c r="G23" s="56"/>
      <c r="H23" s="56"/>
      <c r="I23" s="56"/>
      <c r="J23" s="56" t="s">
        <v>789</v>
      </c>
      <c r="K23" s="56"/>
      <c r="L23" s="56"/>
    </row>
    <row r="24" spans="1:12" x14ac:dyDescent="0.25">
      <c r="A24" s="52"/>
      <c r="B24" s="148"/>
      <c r="C24" s="148" t="s">
        <v>790</v>
      </c>
      <c r="D24" s="324" t="s">
        <v>791</v>
      </c>
      <c r="E24" s="56" t="s">
        <v>777</v>
      </c>
      <c r="F24" s="56" t="s">
        <v>250</v>
      </c>
      <c r="G24" s="56" t="s">
        <v>926</v>
      </c>
      <c r="H24" s="56"/>
      <c r="I24" s="56"/>
      <c r="J24" s="56"/>
      <c r="K24" s="56"/>
      <c r="L24" s="56"/>
    </row>
    <row r="25" spans="1:12" x14ac:dyDescent="0.25">
      <c r="A25" s="52"/>
      <c r="B25" s="52"/>
      <c r="C25" s="52" t="s">
        <v>792</v>
      </c>
      <c r="D25" s="170">
        <v>0.1</v>
      </c>
      <c r="E25" s="57">
        <v>0</v>
      </c>
      <c r="F25" s="56" t="s">
        <v>250</v>
      </c>
      <c r="G25" s="58" t="s">
        <v>927</v>
      </c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793</v>
      </c>
      <c r="D26" s="170">
        <v>0.15</v>
      </c>
      <c r="E26" s="345">
        <v>0.1</v>
      </c>
      <c r="F26" s="56" t="s">
        <v>250</v>
      </c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794</v>
      </c>
      <c r="D27" s="170">
        <v>0.15</v>
      </c>
      <c r="E27" s="57">
        <v>0.1</v>
      </c>
      <c r="F27" s="56" t="s">
        <v>250</v>
      </c>
      <c r="G27" s="58" t="s">
        <v>928</v>
      </c>
      <c r="H27" s="57"/>
      <c r="I27" s="58"/>
      <c r="J27" s="57"/>
      <c r="K27" s="57"/>
      <c r="L27" s="58"/>
    </row>
    <row r="28" spans="1:12" x14ac:dyDescent="0.25">
      <c r="A28" s="52"/>
      <c r="B28" s="52" t="s">
        <v>245</v>
      </c>
      <c r="C28" s="52"/>
      <c r="D28" s="52"/>
    </row>
    <row r="29" spans="1:12" x14ac:dyDescent="0.25">
      <c r="A29" s="325"/>
      <c r="B29" s="52"/>
      <c r="C29" s="52"/>
      <c r="D29" s="5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M95"/>
  <sheetViews>
    <sheetView workbookViewId="0">
      <selection activeCell="B1" sqref="B1"/>
    </sheetView>
  </sheetViews>
  <sheetFormatPr defaultRowHeight="15" x14ac:dyDescent="0.25"/>
  <cols>
    <col min="1" max="2" width="9.140625" style="39"/>
    <col min="3" max="3" width="32.7109375" style="39" customWidth="1"/>
    <col min="4" max="4" width="23" style="39" bestFit="1" customWidth="1"/>
    <col min="5" max="5" width="19.85546875" style="39" bestFit="1" customWidth="1"/>
    <col min="6" max="6" width="11.5703125" style="39" bestFit="1" customWidth="1"/>
    <col min="7" max="7" width="28.7109375" style="39" bestFit="1" customWidth="1"/>
    <col min="8" max="8" width="18.85546875" style="39" bestFit="1" customWidth="1"/>
    <col min="9" max="9" width="20.5703125" style="39" bestFit="1" customWidth="1"/>
    <col min="10" max="10" width="10.5703125" style="39" bestFit="1" customWidth="1"/>
    <col min="11" max="11" width="31.28515625" style="39" bestFit="1" customWidth="1"/>
    <col min="12" max="16384" width="9.140625" style="39"/>
  </cols>
  <sheetData>
    <row r="1" spans="1:5" x14ac:dyDescent="0.25">
      <c r="A1" s="39" t="s">
        <v>250</v>
      </c>
      <c r="B1" s="39" t="s">
        <v>924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357</v>
      </c>
    </row>
    <row r="4" spans="1:5" x14ac:dyDescent="0.25">
      <c r="A4" s="39" t="s">
        <v>250</v>
      </c>
      <c r="C4" s="39" t="s">
        <v>445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358</v>
      </c>
    </row>
    <row r="7" spans="1:5" x14ac:dyDescent="0.25">
      <c r="A7" s="39" t="s">
        <v>250</v>
      </c>
      <c r="C7" s="39" t="s">
        <v>263</v>
      </c>
      <c r="D7" s="39" t="s">
        <v>264</v>
      </c>
      <c r="E7" s="39" t="s">
        <v>265</v>
      </c>
    </row>
    <row r="8" spans="1:5" x14ac:dyDescent="0.25">
      <c r="A8" s="39" t="s">
        <v>250</v>
      </c>
      <c r="B8" s="17"/>
      <c r="C8" s="25">
        <v>41250</v>
      </c>
      <c r="D8" s="33" t="s">
        <v>411</v>
      </c>
      <c r="E8" s="39" t="s">
        <v>266</v>
      </c>
    </row>
    <row r="9" spans="1:5" x14ac:dyDescent="0.25">
      <c r="A9" s="39" t="s">
        <v>250</v>
      </c>
      <c r="B9" s="17"/>
      <c r="C9" s="25">
        <v>42160</v>
      </c>
      <c r="D9" s="33" t="s">
        <v>411</v>
      </c>
      <c r="E9" s="39" t="s">
        <v>799</v>
      </c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267</v>
      </c>
    </row>
    <row r="12" spans="1:5" x14ac:dyDescent="0.25">
      <c r="A12" s="39" t="s">
        <v>250</v>
      </c>
      <c r="C12" s="39" t="s">
        <v>423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12" x14ac:dyDescent="0.25">
      <c r="A17" s="39" t="s">
        <v>250</v>
      </c>
      <c r="B17" s="39" t="s">
        <v>273</v>
      </c>
    </row>
    <row r="18" spans="1:12" x14ac:dyDescent="0.25">
      <c r="A18" s="39" t="s">
        <v>250</v>
      </c>
      <c r="C18" s="39" t="s">
        <v>424</v>
      </c>
    </row>
    <row r="19" spans="1:12" x14ac:dyDescent="0.25">
      <c r="A19" s="39" t="s">
        <v>250</v>
      </c>
    </row>
    <row r="20" spans="1:12" x14ac:dyDescent="0.25">
      <c r="A20" s="39" t="s">
        <v>250</v>
      </c>
    </row>
    <row r="21" spans="1:12" x14ac:dyDescent="0.25">
      <c r="A21" s="39" t="s">
        <v>366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428</v>
      </c>
      <c r="D23" s="17" t="s">
        <v>434</v>
      </c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C24" s="39" t="s">
        <v>429</v>
      </c>
      <c r="D24" s="24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C25" s="40" t="s">
        <v>430</v>
      </c>
      <c r="D25" s="24">
        <v>0.5</v>
      </c>
      <c r="E25" s="57"/>
      <c r="F25" s="58"/>
      <c r="G25" s="58"/>
      <c r="H25" s="57"/>
      <c r="I25" s="58"/>
      <c r="J25" s="57"/>
      <c r="K25" s="57"/>
      <c r="L25" s="58"/>
    </row>
    <row r="26" spans="1:12" x14ac:dyDescent="0.25">
      <c r="C26" s="39" t="s">
        <v>431</v>
      </c>
      <c r="D26" s="24">
        <v>0.5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C27" s="39" t="s">
        <v>432</v>
      </c>
      <c r="D27" s="24">
        <v>1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C28" s="39" t="s">
        <v>425</v>
      </c>
      <c r="D28" s="24">
        <v>5.5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C29" s="39" t="s">
        <v>426</v>
      </c>
      <c r="D29" s="24">
        <v>0.3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C30" s="39" t="s">
        <v>427</v>
      </c>
      <c r="D30" s="24">
        <v>0.2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C31" s="39" t="s">
        <v>433</v>
      </c>
      <c r="D31" s="24">
        <v>1.5</v>
      </c>
    </row>
    <row r="32" spans="1:12" x14ac:dyDescent="0.25">
      <c r="B32" s="39" t="s">
        <v>245</v>
      </c>
    </row>
    <row r="34" spans="2:13" x14ac:dyDescent="0.25">
      <c r="B34" s="140"/>
      <c r="C34" s="140"/>
      <c r="D34" s="138"/>
      <c r="E34" s="138"/>
      <c r="F34" s="138"/>
      <c r="G34" s="138"/>
      <c r="H34" s="138"/>
      <c r="I34" s="138"/>
      <c r="J34" s="138"/>
      <c r="K34" s="138"/>
      <c r="L34" s="138"/>
    </row>
    <row r="35" spans="2:13" x14ac:dyDescent="0.25">
      <c r="B35" s="138"/>
      <c r="C35" s="140"/>
      <c r="D35" s="116"/>
      <c r="E35" s="116"/>
      <c r="F35" s="116"/>
      <c r="G35" s="116"/>
      <c r="H35" s="116"/>
      <c r="I35" s="116"/>
      <c r="J35" s="116"/>
      <c r="K35" s="116"/>
      <c r="L35" s="138"/>
      <c r="M35" s="138"/>
    </row>
    <row r="36" spans="2:13" x14ac:dyDescent="0.25">
      <c r="B36" s="138"/>
      <c r="C36" s="138"/>
      <c r="D36" s="141"/>
      <c r="E36" s="141"/>
      <c r="F36" s="141"/>
      <c r="G36" s="141"/>
      <c r="H36" s="141"/>
      <c r="I36" s="141"/>
      <c r="J36" s="141"/>
      <c r="K36" s="141"/>
    </row>
    <row r="37" spans="2:13" s="138" customFormat="1" x14ac:dyDescent="0.25">
      <c r="D37" s="141"/>
      <c r="E37" s="141"/>
      <c r="F37" s="141"/>
      <c r="G37" s="141"/>
      <c r="H37" s="141"/>
      <c r="I37" s="141"/>
      <c r="J37" s="141"/>
      <c r="K37" s="141"/>
    </row>
    <row r="38" spans="2:13" x14ac:dyDescent="0.25">
      <c r="B38" s="138"/>
      <c r="C38" s="138"/>
      <c r="D38" s="138"/>
      <c r="E38" s="60"/>
      <c r="F38" s="61"/>
      <c r="G38" s="59"/>
      <c r="H38" s="138"/>
      <c r="I38" s="138"/>
      <c r="J38" s="138"/>
      <c r="L38" s="138"/>
      <c r="M38" s="138"/>
    </row>
    <row r="39" spans="2:13" x14ac:dyDescent="0.25">
      <c r="B39" s="138"/>
      <c r="C39" s="138"/>
      <c r="D39" s="138"/>
      <c r="E39" s="138"/>
      <c r="F39" s="138"/>
      <c r="G39" s="138"/>
      <c r="H39" s="138"/>
      <c r="I39" s="138"/>
      <c r="J39" s="138"/>
      <c r="L39" s="138"/>
      <c r="M39" s="138"/>
    </row>
    <row r="40" spans="2:13" x14ac:dyDescent="0.25">
      <c r="B40" s="138"/>
      <c r="C40" s="138"/>
      <c r="D40" s="138"/>
      <c r="E40" s="138"/>
      <c r="F40" s="138"/>
      <c r="G40" s="138"/>
      <c r="H40" s="138"/>
      <c r="I40" s="138"/>
      <c r="J40" s="138"/>
      <c r="L40" s="138"/>
      <c r="M40" s="138"/>
    </row>
    <row r="41" spans="2:13" x14ac:dyDescent="0.25">
      <c r="B41" s="138"/>
      <c r="C41" s="138"/>
      <c r="D41" s="138"/>
      <c r="E41" s="138"/>
      <c r="F41" s="138"/>
      <c r="G41" s="138"/>
      <c r="H41" s="138"/>
      <c r="I41" s="138"/>
      <c r="J41" s="138"/>
      <c r="L41" s="138"/>
      <c r="M41" s="138"/>
    </row>
    <row r="42" spans="2:13" x14ac:dyDescent="0.25">
      <c r="B42" s="138"/>
      <c r="C42" s="138"/>
      <c r="D42" s="138"/>
      <c r="E42" s="138"/>
      <c r="F42" s="138"/>
      <c r="G42" s="138"/>
      <c r="H42" s="138"/>
      <c r="I42" s="138"/>
      <c r="J42" s="138"/>
      <c r="L42" s="138"/>
      <c r="M42" s="138"/>
    </row>
    <row r="43" spans="2:13" x14ac:dyDescent="0.25">
      <c r="B43" s="138"/>
      <c r="C43" s="138"/>
      <c r="D43" s="138"/>
      <c r="E43" s="60"/>
      <c r="F43" s="61"/>
      <c r="G43" s="59"/>
      <c r="H43" s="138"/>
      <c r="I43" s="138"/>
      <c r="J43" s="138"/>
      <c r="L43" s="138"/>
      <c r="M43" s="138"/>
    </row>
    <row r="44" spans="2:13" x14ac:dyDescent="0.25">
      <c r="B44" s="138"/>
      <c r="C44" s="138"/>
      <c r="D44" s="138"/>
      <c r="E44" s="138"/>
      <c r="F44" s="138"/>
      <c r="G44" s="138"/>
      <c r="H44" s="138"/>
      <c r="I44" s="138"/>
      <c r="J44" s="138"/>
      <c r="L44" s="138"/>
      <c r="M44" s="138"/>
    </row>
    <row r="45" spans="2:13" x14ac:dyDescent="0.25">
      <c r="B45" s="138"/>
      <c r="C45" s="138"/>
      <c r="D45" s="138"/>
      <c r="E45" s="138"/>
      <c r="F45" s="138"/>
      <c r="G45" s="138"/>
      <c r="H45" s="138"/>
      <c r="I45" s="138"/>
      <c r="J45" s="138"/>
      <c r="L45" s="138"/>
      <c r="M45" s="138"/>
    </row>
    <row r="46" spans="2:13" x14ac:dyDescent="0.25">
      <c r="B46" s="138"/>
      <c r="C46" s="138"/>
      <c r="D46" s="138"/>
      <c r="E46" s="138"/>
      <c r="F46" s="138"/>
      <c r="G46" s="138"/>
      <c r="H46" s="138"/>
      <c r="I46" s="138"/>
      <c r="J46" s="138"/>
      <c r="L46" s="138"/>
      <c r="M46" s="138"/>
    </row>
    <row r="47" spans="2:13" x14ac:dyDescent="0.25">
      <c r="B47" s="138"/>
      <c r="C47" s="138"/>
      <c r="D47" s="138"/>
      <c r="E47" s="60"/>
      <c r="F47" s="62"/>
      <c r="G47" s="59"/>
      <c r="H47" s="138"/>
      <c r="I47" s="138"/>
      <c r="J47" s="138"/>
      <c r="L47" s="138"/>
      <c r="M47" s="138"/>
    </row>
    <row r="48" spans="2:13" x14ac:dyDescent="0.25">
      <c r="B48" s="138"/>
      <c r="C48" s="138"/>
      <c r="D48" s="138"/>
      <c r="E48" s="138"/>
      <c r="F48" s="138"/>
      <c r="G48" s="138"/>
      <c r="H48" s="138"/>
      <c r="I48" s="138"/>
      <c r="J48" s="138"/>
      <c r="L48" s="138"/>
      <c r="M48" s="138"/>
    </row>
    <row r="49" spans="2:13" x14ac:dyDescent="0.25">
      <c r="B49" s="138"/>
      <c r="C49" s="138"/>
      <c r="D49" s="138"/>
      <c r="E49" s="60"/>
      <c r="F49" s="62"/>
      <c r="G49" s="59"/>
      <c r="H49" s="138"/>
      <c r="I49" s="138"/>
      <c r="J49" s="138"/>
      <c r="L49" s="138"/>
      <c r="M49" s="138"/>
    </row>
    <row r="50" spans="2:13" x14ac:dyDescent="0.25">
      <c r="B50" s="138"/>
      <c r="C50" s="138"/>
      <c r="D50" s="138"/>
      <c r="E50" s="138"/>
      <c r="F50" s="138"/>
      <c r="G50" s="138"/>
      <c r="H50" s="138"/>
      <c r="I50" s="138"/>
      <c r="J50" s="138"/>
      <c r="L50" s="138"/>
      <c r="M50" s="138"/>
    </row>
    <row r="51" spans="2:13" x14ac:dyDescent="0.25">
      <c r="B51" s="138"/>
      <c r="C51" s="138"/>
      <c r="D51" s="138"/>
      <c r="E51" s="138"/>
      <c r="F51" s="138"/>
      <c r="G51" s="138"/>
      <c r="H51" s="138"/>
      <c r="I51" s="138"/>
      <c r="J51" s="138"/>
      <c r="L51" s="138"/>
      <c r="M51" s="138"/>
    </row>
    <row r="52" spans="2:13" x14ac:dyDescent="0.25">
      <c r="B52" s="138"/>
      <c r="C52" s="138"/>
      <c r="D52" s="138"/>
      <c r="E52" s="138"/>
      <c r="F52" s="138"/>
      <c r="G52" s="138"/>
      <c r="H52" s="138"/>
      <c r="I52" s="138"/>
      <c r="J52" s="138"/>
      <c r="L52" s="138"/>
      <c r="M52" s="138"/>
    </row>
    <row r="53" spans="2:13" x14ac:dyDescent="0.25">
      <c r="B53" s="138"/>
      <c r="C53" s="138"/>
      <c r="D53" s="138"/>
      <c r="E53" s="138"/>
      <c r="F53" s="138"/>
      <c r="G53" s="138"/>
      <c r="H53" s="138"/>
      <c r="I53" s="138"/>
      <c r="J53" s="138"/>
      <c r="L53" s="138"/>
      <c r="M53" s="138"/>
    </row>
    <row r="54" spans="2:13" x14ac:dyDescent="0.25">
      <c r="B54" s="138"/>
      <c r="C54" s="138"/>
      <c r="D54" s="138"/>
      <c r="E54" s="60"/>
      <c r="F54" s="62"/>
      <c r="G54" s="59"/>
      <c r="H54" s="138"/>
      <c r="I54" s="138"/>
      <c r="J54" s="138"/>
      <c r="L54" s="138"/>
      <c r="M54" s="138"/>
    </row>
    <row r="55" spans="2:13" x14ac:dyDescent="0.25">
      <c r="B55" s="138"/>
      <c r="C55" s="138"/>
      <c r="D55" s="138"/>
      <c r="E55" s="60"/>
      <c r="F55" s="62"/>
      <c r="G55" s="59"/>
      <c r="H55" s="138"/>
      <c r="I55" s="138"/>
      <c r="J55" s="138"/>
      <c r="L55" s="138"/>
      <c r="M55" s="138"/>
    </row>
    <row r="56" spans="2:13" x14ac:dyDescent="0.25">
      <c r="B56" s="138"/>
      <c r="C56" s="138"/>
      <c r="D56" s="138"/>
      <c r="E56" s="138"/>
      <c r="F56" s="138"/>
      <c r="G56" s="138"/>
      <c r="H56" s="138"/>
      <c r="I56" s="138"/>
      <c r="J56" s="138"/>
      <c r="L56" s="138"/>
      <c r="M56" s="138"/>
    </row>
    <row r="57" spans="2:13" x14ac:dyDescent="0.25">
      <c r="B57" s="138"/>
      <c r="C57" s="138"/>
      <c r="D57" s="138"/>
      <c r="E57" s="138"/>
      <c r="F57" s="138"/>
      <c r="G57" s="138"/>
      <c r="H57" s="138"/>
      <c r="I57" s="138"/>
      <c r="J57" s="138"/>
      <c r="L57" s="138"/>
      <c r="M57" s="138"/>
    </row>
    <row r="58" spans="2:13" x14ac:dyDescent="0.25">
      <c r="B58" s="138"/>
      <c r="C58" s="138"/>
      <c r="D58" s="138"/>
      <c r="E58" s="138"/>
      <c r="F58" s="138"/>
      <c r="G58" s="138"/>
      <c r="H58" s="138"/>
      <c r="I58" s="138"/>
      <c r="J58" s="138"/>
      <c r="L58" s="138"/>
      <c r="M58" s="138"/>
    </row>
    <row r="59" spans="2:13" x14ac:dyDescent="0.25">
      <c r="B59" s="138"/>
      <c r="C59" s="138"/>
      <c r="D59" s="138"/>
      <c r="E59" s="60"/>
      <c r="F59" s="62"/>
      <c r="G59" s="59"/>
      <c r="H59" s="138"/>
      <c r="I59" s="138"/>
      <c r="J59" s="138"/>
      <c r="L59" s="138"/>
      <c r="M59" s="138"/>
    </row>
    <row r="60" spans="2:13" x14ac:dyDescent="0.25">
      <c r="B60" s="138"/>
      <c r="C60" s="138"/>
      <c r="D60" s="138"/>
      <c r="E60" s="138"/>
      <c r="F60" s="138"/>
      <c r="G60" s="138"/>
      <c r="H60" s="138"/>
      <c r="I60" s="138"/>
      <c r="J60" s="138"/>
      <c r="L60" s="138"/>
      <c r="M60" s="138"/>
    </row>
    <row r="61" spans="2:13" x14ac:dyDescent="0.25">
      <c r="B61" s="138"/>
      <c r="C61" s="138"/>
      <c r="D61" s="138"/>
      <c r="E61" s="60"/>
      <c r="F61" s="62"/>
      <c r="G61" s="59"/>
      <c r="H61" s="138"/>
      <c r="I61" s="138"/>
      <c r="J61" s="138"/>
      <c r="L61" s="138"/>
      <c r="M61" s="138"/>
    </row>
    <row r="62" spans="2:13" x14ac:dyDescent="0.25">
      <c r="B62" s="138"/>
      <c r="C62" s="138"/>
      <c r="D62" s="138"/>
      <c r="E62" s="138"/>
      <c r="F62" s="138"/>
      <c r="G62" s="138"/>
      <c r="H62" s="138"/>
      <c r="I62" s="138"/>
      <c r="J62" s="138"/>
      <c r="L62" s="138"/>
      <c r="M62" s="138"/>
    </row>
    <row r="63" spans="2:13" x14ac:dyDescent="0.25">
      <c r="B63" s="138"/>
      <c r="C63" s="138"/>
      <c r="D63" s="138"/>
      <c r="E63" s="138"/>
      <c r="F63" s="138"/>
      <c r="G63" s="138"/>
      <c r="H63" s="138"/>
      <c r="I63" s="138"/>
      <c r="J63" s="138"/>
      <c r="L63" s="138"/>
      <c r="M63" s="138"/>
    </row>
    <row r="64" spans="2:13" x14ac:dyDescent="0.25">
      <c r="B64" s="138"/>
      <c r="C64" s="138"/>
      <c r="D64" s="138"/>
      <c r="E64" s="138"/>
      <c r="F64" s="138"/>
      <c r="G64" s="138"/>
      <c r="H64" s="138"/>
      <c r="I64" s="138"/>
      <c r="J64" s="138"/>
      <c r="L64" s="138"/>
      <c r="M64" s="138"/>
    </row>
    <row r="65" spans="2:13" x14ac:dyDescent="0.25">
      <c r="B65" s="138"/>
      <c r="C65" s="138"/>
      <c r="D65" s="138"/>
      <c r="E65" s="138"/>
      <c r="F65" s="138"/>
      <c r="G65" s="138"/>
      <c r="H65" s="138"/>
      <c r="I65" s="138"/>
      <c r="J65" s="138"/>
      <c r="L65" s="138"/>
      <c r="M65" s="138"/>
    </row>
    <row r="66" spans="2:13" x14ac:dyDescent="0.25">
      <c r="B66" s="138"/>
      <c r="C66" s="138"/>
      <c r="D66" s="138"/>
      <c r="E66" s="138"/>
      <c r="F66" s="138"/>
      <c r="G66" s="138"/>
      <c r="H66" s="138"/>
      <c r="I66" s="138"/>
      <c r="J66" s="138"/>
      <c r="L66" s="138"/>
      <c r="M66" s="138"/>
    </row>
    <row r="67" spans="2:13" x14ac:dyDescent="0.25">
      <c r="B67" s="138"/>
      <c r="C67" s="138"/>
      <c r="D67" s="138"/>
      <c r="E67" s="138"/>
      <c r="F67" s="138"/>
      <c r="G67" s="138"/>
      <c r="H67" s="138"/>
      <c r="I67" s="138"/>
      <c r="J67" s="138"/>
      <c r="L67" s="138"/>
      <c r="M67" s="138"/>
    </row>
    <row r="68" spans="2:13" x14ac:dyDescent="0.25">
      <c r="B68" s="138"/>
      <c r="C68" s="138"/>
      <c r="D68" s="138"/>
      <c r="E68" s="138"/>
      <c r="F68" s="138"/>
      <c r="G68" s="138"/>
      <c r="H68" s="138"/>
      <c r="I68" s="138"/>
      <c r="J68" s="138"/>
      <c r="L68" s="138"/>
      <c r="M68" s="138"/>
    </row>
    <row r="69" spans="2:13" x14ac:dyDescent="0.25">
      <c r="B69" s="138"/>
      <c r="C69" s="138"/>
      <c r="D69" s="138"/>
      <c r="E69" s="138"/>
      <c r="F69" s="138"/>
      <c r="G69" s="138"/>
      <c r="H69" s="138"/>
      <c r="I69" s="138"/>
      <c r="J69" s="138"/>
      <c r="L69" s="138"/>
      <c r="M69" s="138"/>
    </row>
    <row r="70" spans="2:13" x14ac:dyDescent="0.25">
      <c r="B70" s="138"/>
      <c r="C70" s="138"/>
      <c r="D70" s="138"/>
      <c r="E70" s="138"/>
      <c r="F70" s="138"/>
      <c r="G70" s="138"/>
      <c r="H70" s="138"/>
      <c r="I70" s="138"/>
      <c r="J70" s="138"/>
      <c r="L70" s="138"/>
      <c r="M70" s="138"/>
    </row>
    <row r="71" spans="2:13" x14ac:dyDescent="0.25">
      <c r="B71" s="138"/>
      <c r="C71" s="138"/>
      <c r="D71" s="138"/>
      <c r="E71" s="138"/>
      <c r="F71" s="138"/>
      <c r="G71" s="138"/>
      <c r="H71" s="138"/>
      <c r="I71" s="138"/>
      <c r="J71" s="138"/>
      <c r="L71" s="138"/>
      <c r="M71" s="138"/>
    </row>
    <row r="72" spans="2:13" x14ac:dyDescent="0.25">
      <c r="B72" s="138"/>
      <c r="C72" s="138"/>
      <c r="D72" s="138"/>
      <c r="E72" s="60"/>
      <c r="F72" s="62"/>
      <c r="G72" s="59"/>
      <c r="H72" s="138"/>
      <c r="I72" s="138"/>
      <c r="J72" s="138"/>
      <c r="L72" s="138"/>
      <c r="M72" s="138"/>
    </row>
    <row r="73" spans="2:13" x14ac:dyDescent="0.25">
      <c r="B73" s="138"/>
      <c r="C73" s="138"/>
      <c r="D73" s="138"/>
      <c r="E73" s="60"/>
      <c r="F73" s="62"/>
      <c r="G73" s="59"/>
      <c r="H73" s="138"/>
      <c r="I73" s="138"/>
      <c r="J73" s="138"/>
      <c r="L73" s="138"/>
      <c r="M73" s="138"/>
    </row>
    <row r="74" spans="2:13" x14ac:dyDescent="0.25">
      <c r="B74" s="138"/>
      <c r="C74" s="138"/>
      <c r="D74" s="138"/>
      <c r="E74" s="138"/>
      <c r="F74" s="138"/>
      <c r="G74" s="138"/>
      <c r="H74" s="138"/>
      <c r="I74" s="138"/>
      <c r="J74" s="138"/>
      <c r="L74" s="138"/>
      <c r="M74" s="138"/>
    </row>
    <row r="75" spans="2:13" x14ac:dyDescent="0.25">
      <c r="B75" s="138"/>
      <c r="C75" s="138"/>
      <c r="D75" s="138"/>
      <c r="E75" s="60"/>
      <c r="F75" s="62"/>
      <c r="G75" s="59"/>
      <c r="H75" s="138"/>
      <c r="I75" s="138"/>
      <c r="J75" s="138"/>
      <c r="L75" s="138"/>
      <c r="M75" s="138"/>
    </row>
    <row r="76" spans="2:13" x14ac:dyDescent="0.25">
      <c r="B76" s="138"/>
      <c r="C76" s="138"/>
      <c r="D76" s="138"/>
      <c r="E76" s="60"/>
      <c r="F76" s="62"/>
      <c r="G76" s="59"/>
      <c r="H76" s="138"/>
      <c r="I76" s="138"/>
      <c r="J76" s="138"/>
      <c r="L76" s="138"/>
      <c r="M76" s="138"/>
    </row>
    <row r="77" spans="2:13" x14ac:dyDescent="0.25">
      <c r="B77" s="138"/>
      <c r="C77" s="138"/>
      <c r="D77" s="138"/>
      <c r="E77" s="138"/>
      <c r="F77" s="138"/>
      <c r="G77" s="138"/>
      <c r="H77" s="138"/>
      <c r="I77" s="138"/>
      <c r="J77" s="138"/>
      <c r="L77" s="138"/>
      <c r="M77" s="138"/>
    </row>
    <row r="78" spans="2:13" x14ac:dyDescent="0.25">
      <c r="B78" s="138"/>
      <c r="C78" s="138"/>
      <c r="D78" s="138"/>
      <c r="E78" s="138"/>
      <c r="F78" s="138"/>
      <c r="G78" s="138"/>
      <c r="H78" s="138"/>
      <c r="I78" s="138"/>
      <c r="J78" s="138"/>
      <c r="L78" s="138"/>
      <c r="M78" s="138"/>
    </row>
    <row r="79" spans="2:13" x14ac:dyDescent="0.25">
      <c r="B79" s="138"/>
      <c r="C79" s="138"/>
      <c r="D79" s="138"/>
      <c r="E79" s="138"/>
      <c r="F79" s="138"/>
      <c r="G79" s="138"/>
      <c r="H79" s="138"/>
      <c r="I79" s="138"/>
      <c r="J79" s="138"/>
      <c r="L79" s="138"/>
      <c r="M79" s="138"/>
    </row>
    <row r="80" spans="2:13" x14ac:dyDescent="0.25">
      <c r="B80" s="138"/>
      <c r="C80" s="138"/>
      <c r="D80" s="138"/>
      <c r="E80" s="138"/>
      <c r="F80" s="138"/>
      <c r="G80" s="138"/>
      <c r="H80" s="138"/>
      <c r="I80" s="138"/>
      <c r="J80" s="138"/>
      <c r="L80" s="138"/>
      <c r="M80" s="138"/>
    </row>
    <row r="81" spans="2:13" x14ac:dyDescent="0.25">
      <c r="B81" s="138"/>
      <c r="C81" s="138"/>
      <c r="D81" s="138"/>
      <c r="E81" s="138"/>
      <c r="F81" s="138"/>
      <c r="G81" s="138"/>
      <c r="H81" s="138"/>
      <c r="I81" s="138"/>
      <c r="J81" s="138"/>
      <c r="L81" s="138"/>
      <c r="M81" s="138"/>
    </row>
    <row r="82" spans="2:13" x14ac:dyDescent="0.25">
      <c r="B82" s="138"/>
      <c r="C82" s="138"/>
      <c r="D82" s="138"/>
      <c r="E82" s="138"/>
      <c r="F82" s="138"/>
      <c r="G82" s="138"/>
      <c r="H82" s="138"/>
      <c r="I82" s="138"/>
      <c r="J82" s="138"/>
      <c r="L82" s="138"/>
      <c r="M82" s="138"/>
    </row>
    <row r="83" spans="2:13" x14ac:dyDescent="0.25">
      <c r="B83" s="138"/>
      <c r="C83" s="138"/>
      <c r="D83" s="138"/>
      <c r="E83" s="138"/>
      <c r="F83" s="138"/>
      <c r="G83" s="138"/>
      <c r="H83" s="138"/>
      <c r="I83" s="138"/>
      <c r="J83" s="138"/>
      <c r="L83" s="138"/>
      <c r="M83" s="138"/>
    </row>
    <row r="84" spans="2:13" x14ac:dyDescent="0.25">
      <c r="B84" s="138"/>
      <c r="C84" s="138"/>
      <c r="D84" s="138"/>
      <c r="E84" s="60"/>
      <c r="F84" s="62"/>
      <c r="G84" s="59"/>
      <c r="H84" s="138"/>
      <c r="I84" s="138"/>
      <c r="J84" s="138"/>
      <c r="L84" s="138"/>
      <c r="M84" s="138"/>
    </row>
    <row r="85" spans="2:13" x14ac:dyDescent="0.25">
      <c r="B85" s="138"/>
      <c r="C85" s="138"/>
      <c r="D85" s="138"/>
      <c r="E85" s="60"/>
      <c r="F85" s="62"/>
      <c r="G85" s="59"/>
      <c r="H85" s="138"/>
      <c r="I85" s="138"/>
      <c r="J85" s="138"/>
      <c r="L85" s="138"/>
      <c r="M85" s="138"/>
    </row>
    <row r="86" spans="2:13" x14ac:dyDescent="0.25">
      <c r="B86" s="138"/>
      <c r="C86" s="138"/>
      <c r="D86" s="138"/>
      <c r="E86" s="138"/>
      <c r="F86" s="138"/>
      <c r="G86" s="138"/>
      <c r="H86" s="138"/>
      <c r="I86" s="138"/>
      <c r="J86" s="138"/>
      <c r="L86" s="138"/>
      <c r="M86" s="138"/>
    </row>
    <row r="87" spans="2:13" x14ac:dyDescent="0.25">
      <c r="B87" s="138"/>
      <c r="C87" s="138"/>
      <c r="D87" s="138"/>
      <c r="E87" s="60"/>
      <c r="F87" s="62"/>
      <c r="G87" s="59"/>
      <c r="H87" s="138"/>
      <c r="I87" s="138"/>
      <c r="J87" s="138"/>
      <c r="L87" s="138"/>
      <c r="M87" s="138"/>
    </row>
    <row r="88" spans="2:13" x14ac:dyDescent="0.25">
      <c r="B88" s="138"/>
      <c r="C88" s="138"/>
      <c r="D88" s="138"/>
      <c r="E88" s="60"/>
      <c r="F88" s="62"/>
      <c r="G88" s="59"/>
      <c r="H88" s="138"/>
      <c r="I88" s="138"/>
      <c r="J88" s="138"/>
      <c r="L88" s="138"/>
      <c r="M88" s="138"/>
    </row>
    <row r="89" spans="2:13" x14ac:dyDescent="0.25">
      <c r="B89" s="138"/>
      <c r="C89" s="138"/>
      <c r="D89" s="138"/>
      <c r="E89" s="60"/>
      <c r="F89" s="62"/>
      <c r="G89" s="59"/>
      <c r="H89" s="138"/>
      <c r="I89" s="138"/>
      <c r="J89" s="138"/>
      <c r="L89" s="138"/>
      <c r="M89" s="138"/>
    </row>
    <row r="90" spans="2:13" x14ac:dyDescent="0.25">
      <c r="B90" s="138"/>
      <c r="C90" s="138"/>
      <c r="D90" s="138"/>
      <c r="E90" s="138"/>
      <c r="F90" s="138"/>
      <c r="G90" s="138"/>
      <c r="H90" s="138"/>
      <c r="I90" s="138"/>
      <c r="J90" s="138"/>
      <c r="L90" s="138"/>
      <c r="M90" s="138"/>
    </row>
    <row r="91" spans="2:13" x14ac:dyDescent="0.25">
      <c r="B91" s="138"/>
      <c r="C91" s="138"/>
      <c r="D91" s="138"/>
      <c r="E91" s="138"/>
      <c r="F91" s="138"/>
      <c r="G91" s="138"/>
      <c r="H91" s="138"/>
      <c r="I91" s="138"/>
      <c r="J91" s="138"/>
      <c r="L91" s="138"/>
      <c r="M91" s="138"/>
    </row>
    <row r="92" spans="2:13" x14ac:dyDescent="0.25">
      <c r="B92" s="138"/>
      <c r="C92" s="138"/>
      <c r="D92" s="138"/>
      <c r="E92" s="138"/>
      <c r="F92" s="138"/>
      <c r="G92" s="138"/>
      <c r="H92" s="138"/>
      <c r="I92" s="138"/>
      <c r="J92" s="138"/>
      <c r="L92" s="138"/>
      <c r="M92" s="138"/>
    </row>
    <row r="93" spans="2:13" x14ac:dyDescent="0.25">
      <c r="B93" s="138"/>
      <c r="C93" s="138"/>
      <c r="D93" s="138"/>
      <c r="E93" s="60"/>
      <c r="F93" s="62"/>
      <c r="G93" s="59"/>
      <c r="H93" s="138"/>
      <c r="I93" s="138"/>
      <c r="J93" s="138"/>
      <c r="L93" s="138"/>
      <c r="M93" s="138"/>
    </row>
    <row r="94" spans="2:13" x14ac:dyDescent="0.25">
      <c r="B94" s="138"/>
      <c r="C94" s="138"/>
      <c r="D94" s="138"/>
      <c r="E94" s="138"/>
      <c r="F94" s="138"/>
      <c r="G94" s="138"/>
      <c r="H94" s="138"/>
      <c r="I94" s="138"/>
      <c r="J94" s="138"/>
      <c r="L94" s="138"/>
      <c r="M94" s="138"/>
    </row>
    <row r="95" spans="2:13" x14ac:dyDescent="0.25"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FF00"/>
  </sheetPr>
  <dimension ref="A1:L84"/>
  <sheetViews>
    <sheetView topLeftCell="A16" workbookViewId="0">
      <selection activeCell="A79" sqref="A79:XFD79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s="39" t="s">
        <v>250</v>
      </c>
      <c r="B1" s="39" t="s">
        <v>924</v>
      </c>
      <c r="C1" s="39"/>
      <c r="D1" s="39"/>
      <c r="E1" s="39"/>
    </row>
    <row r="2" spans="1:5" x14ac:dyDescent="0.25">
      <c r="A2" s="39" t="s">
        <v>250</v>
      </c>
      <c r="B2" s="39"/>
      <c r="C2" s="39"/>
      <c r="D2" s="39"/>
      <c r="E2" s="39"/>
    </row>
    <row r="3" spans="1:5" x14ac:dyDescent="0.25">
      <c r="A3" s="39" t="s">
        <v>250</v>
      </c>
      <c r="B3" s="39" t="s">
        <v>357</v>
      </c>
      <c r="C3" s="39"/>
      <c r="D3" s="39"/>
      <c r="E3" s="39"/>
    </row>
    <row r="4" spans="1:5" x14ac:dyDescent="0.25">
      <c r="A4" s="39" t="s">
        <v>250</v>
      </c>
      <c r="B4" s="39"/>
      <c r="C4" s="39" t="s">
        <v>444</v>
      </c>
      <c r="D4" s="39"/>
      <c r="E4" s="39"/>
    </row>
    <row r="5" spans="1:5" x14ac:dyDescent="0.25">
      <c r="A5" s="39" t="s">
        <v>250</v>
      </c>
      <c r="B5" s="39"/>
      <c r="C5" s="39"/>
      <c r="D5" s="39"/>
      <c r="E5" s="39"/>
    </row>
    <row r="6" spans="1:5" x14ac:dyDescent="0.25">
      <c r="A6" s="39" t="s">
        <v>250</v>
      </c>
      <c r="B6" s="39" t="s">
        <v>358</v>
      </c>
      <c r="C6" s="39"/>
      <c r="D6" s="39"/>
      <c r="E6" s="39"/>
    </row>
    <row r="7" spans="1:5" x14ac:dyDescent="0.25">
      <c r="A7" s="39" t="s">
        <v>250</v>
      </c>
      <c r="B7" s="39"/>
      <c r="C7" s="39" t="s">
        <v>263</v>
      </c>
      <c r="D7" s="39" t="s">
        <v>264</v>
      </c>
      <c r="E7" s="39" t="s">
        <v>265</v>
      </c>
    </row>
    <row r="8" spans="1:5" x14ac:dyDescent="0.25">
      <c r="A8" s="39" t="s">
        <v>250</v>
      </c>
      <c r="B8" s="17"/>
      <c r="C8" s="25">
        <v>41249</v>
      </c>
      <c r="D8" s="33" t="s">
        <v>411</v>
      </c>
      <c r="E8" s="39" t="s">
        <v>266</v>
      </c>
    </row>
    <row r="9" spans="1:5" x14ac:dyDescent="0.25">
      <c r="A9" s="39" t="s">
        <v>250</v>
      </c>
      <c r="B9" s="17"/>
      <c r="C9" s="25"/>
      <c r="D9" s="33"/>
      <c r="E9" s="39"/>
    </row>
    <row r="10" spans="1:5" x14ac:dyDescent="0.25">
      <c r="A10" s="39" t="s">
        <v>250</v>
      </c>
      <c r="B10" s="17"/>
      <c r="C10" s="25"/>
      <c r="D10" s="39"/>
      <c r="E10" s="39"/>
    </row>
    <row r="11" spans="1:5" x14ac:dyDescent="0.25">
      <c r="A11" s="39" t="s">
        <v>250</v>
      </c>
      <c r="B11" s="39" t="s">
        <v>267</v>
      </c>
      <c r="C11" s="39"/>
      <c r="D11" s="39"/>
      <c r="E11" s="39"/>
    </row>
    <row r="12" spans="1:5" x14ac:dyDescent="0.25">
      <c r="A12" s="39" t="s">
        <v>250</v>
      </c>
      <c r="B12" s="39"/>
      <c r="C12" s="39" t="s">
        <v>435</v>
      </c>
      <c r="D12" s="39"/>
      <c r="E12" s="39"/>
    </row>
    <row r="13" spans="1:5" x14ac:dyDescent="0.25">
      <c r="A13" s="39" t="s">
        <v>250</v>
      </c>
      <c r="B13" s="39"/>
      <c r="C13" s="39"/>
      <c r="D13" s="39"/>
      <c r="E13" s="39"/>
    </row>
    <row r="14" spans="1:5" x14ac:dyDescent="0.25">
      <c r="A14" s="39" t="s">
        <v>250</v>
      </c>
      <c r="B14" s="39" t="s">
        <v>251</v>
      </c>
      <c r="C14" s="39"/>
      <c r="D14" s="39"/>
      <c r="E14" s="39"/>
    </row>
    <row r="15" spans="1:5" x14ac:dyDescent="0.25">
      <c r="A15" s="39" t="s">
        <v>250</v>
      </c>
      <c r="B15" s="39"/>
      <c r="C15" s="39"/>
      <c r="D15" s="39"/>
      <c r="E15" s="39"/>
    </row>
    <row r="16" spans="1:5" x14ac:dyDescent="0.25">
      <c r="A16" s="39" t="s">
        <v>250</v>
      </c>
      <c r="B16" s="39"/>
      <c r="C16" s="39"/>
      <c r="D16" s="39"/>
      <c r="E16" s="39"/>
    </row>
    <row r="17" spans="1:12" x14ac:dyDescent="0.25">
      <c r="A17" s="39" t="s">
        <v>250</v>
      </c>
      <c r="B17" s="39" t="s">
        <v>273</v>
      </c>
      <c r="C17" s="39"/>
      <c r="D17" s="39"/>
      <c r="E17" s="39"/>
    </row>
    <row r="18" spans="1:12" x14ac:dyDescent="0.25">
      <c r="A18" s="39" t="s">
        <v>250</v>
      </c>
      <c r="B18" s="39"/>
      <c r="C18" s="39" t="str">
        <f>C4&amp;"."&amp;E23&amp;"("&amp;C23&amp;"=u:SpaceFunction)"</f>
        <v>TailoredMethodLPA.GenIllum(SpaceFunction=u:SpaceFunction)</v>
      </c>
      <c r="D18" s="39"/>
      <c r="E18" s="39"/>
    </row>
    <row r="19" spans="1:12" x14ac:dyDescent="0.25">
      <c r="A19" s="39" t="s">
        <v>250</v>
      </c>
      <c r="B19" s="39"/>
      <c r="C19" s="39"/>
      <c r="D19" s="39"/>
      <c r="E19" s="39"/>
    </row>
    <row r="20" spans="1:12" x14ac:dyDescent="0.25">
      <c r="A20" s="39" t="s">
        <v>250</v>
      </c>
      <c r="B20" s="39"/>
      <c r="C20" s="39"/>
      <c r="D20" s="39"/>
      <c r="E20" s="39"/>
    </row>
    <row r="21" spans="1:12" x14ac:dyDescent="0.25">
      <c r="A21" s="39" t="s">
        <v>366</v>
      </c>
      <c r="B21" s="39"/>
      <c r="C21" s="39"/>
      <c r="D21" s="39"/>
      <c r="E21" s="39"/>
    </row>
    <row r="22" spans="1:12" x14ac:dyDescent="0.25">
      <c r="A22" s="39"/>
      <c r="B22" s="2" t="str">
        <f>"TABLE "&amp;$C$4</f>
        <v>TABLE TailoredMethodLPA</v>
      </c>
      <c r="C22" s="2"/>
      <c r="D22" s="39"/>
      <c r="E22" s="39"/>
    </row>
    <row r="23" spans="1:12" x14ac:dyDescent="0.25">
      <c r="A23" s="39"/>
      <c r="C23" s="2" t="s">
        <v>436</v>
      </c>
      <c r="D23" t="s">
        <v>672</v>
      </c>
      <c r="E23" s="17" t="s">
        <v>437</v>
      </c>
      <c r="F23" s="56" t="s">
        <v>438</v>
      </c>
      <c r="G23" s="39" t="s">
        <v>439</v>
      </c>
      <c r="H23" s="39" t="s">
        <v>923</v>
      </c>
    </row>
    <row r="24" spans="1:12" x14ac:dyDescent="0.25">
      <c r="C24" s="39" t="s">
        <v>443</v>
      </c>
      <c r="D24" t="s">
        <v>633</v>
      </c>
      <c r="E24" s="39" t="s">
        <v>440</v>
      </c>
      <c r="F24" s="39" t="s">
        <v>441</v>
      </c>
      <c r="G24" s="39" t="s">
        <v>442</v>
      </c>
      <c r="H24" s="39" t="s">
        <v>442</v>
      </c>
      <c r="K24" t="s">
        <v>671</v>
      </c>
    </row>
    <row r="25" spans="1:12" x14ac:dyDescent="0.25">
      <c r="A25" s="39"/>
      <c r="B25" s="39"/>
      <c r="C25" s="39" t="s">
        <v>526</v>
      </c>
      <c r="D25">
        <v>1</v>
      </c>
      <c r="E25" s="60">
        <v>300</v>
      </c>
      <c r="F25" s="61">
        <v>2.25</v>
      </c>
      <c r="G25" s="59">
        <v>0.3</v>
      </c>
      <c r="H25">
        <v>0.5</v>
      </c>
      <c r="I25" s="138"/>
      <c r="K25" t="s">
        <v>250</v>
      </c>
      <c r="L25">
        <v>1</v>
      </c>
    </row>
    <row r="26" spans="1:12" x14ac:dyDescent="0.25">
      <c r="A26" s="39"/>
      <c r="B26" s="39"/>
      <c r="C26" t="s">
        <v>527</v>
      </c>
      <c r="D26" s="138">
        <v>1</v>
      </c>
      <c r="E26" s="60">
        <v>300</v>
      </c>
      <c r="F26" s="61">
        <v>3.15</v>
      </c>
      <c r="G26" s="59">
        <v>0.2</v>
      </c>
      <c r="H26">
        <v>0.5</v>
      </c>
      <c r="I26" s="138"/>
      <c r="K26" s="138" t="s">
        <v>250</v>
      </c>
      <c r="L26">
        <v>6</v>
      </c>
    </row>
    <row r="27" spans="1:12" x14ac:dyDescent="0.25">
      <c r="C27" s="138" t="s">
        <v>528</v>
      </c>
      <c r="D27" s="138">
        <v>1</v>
      </c>
      <c r="E27" s="60">
        <v>300</v>
      </c>
      <c r="F27" s="62">
        <v>2.5</v>
      </c>
      <c r="G27" s="59">
        <v>0.4</v>
      </c>
      <c r="H27">
        <v>0.5</v>
      </c>
      <c r="I27" s="138"/>
      <c r="K27" s="138" t="s">
        <v>250</v>
      </c>
      <c r="L27" s="138">
        <v>10</v>
      </c>
    </row>
    <row r="28" spans="1:12" x14ac:dyDescent="0.25">
      <c r="C28" s="138" t="s">
        <v>529</v>
      </c>
      <c r="D28" s="138">
        <v>1</v>
      </c>
      <c r="E28" s="60">
        <v>200</v>
      </c>
      <c r="F28" s="62">
        <v>1.5</v>
      </c>
      <c r="G28" s="59">
        <v>0.6</v>
      </c>
      <c r="H28">
        <v>0.5</v>
      </c>
      <c r="I28" s="138"/>
      <c r="K28" s="138" t="s">
        <v>250</v>
      </c>
      <c r="L28" s="138">
        <v>12</v>
      </c>
    </row>
    <row r="29" spans="1:12" x14ac:dyDescent="0.25">
      <c r="C29" s="138" t="s">
        <v>530</v>
      </c>
      <c r="D29" s="138">
        <v>1</v>
      </c>
      <c r="E29" s="60">
        <v>150</v>
      </c>
      <c r="F29" s="62">
        <v>15</v>
      </c>
      <c r="G29" s="59">
        <v>1.2</v>
      </c>
      <c r="H29">
        <v>0.5</v>
      </c>
      <c r="I29" s="138"/>
      <c r="K29" s="138" t="s">
        <v>250</v>
      </c>
      <c r="L29" s="138">
        <v>17</v>
      </c>
    </row>
    <row r="30" spans="1:12" x14ac:dyDescent="0.25">
      <c r="C30" s="138" t="s">
        <v>531</v>
      </c>
      <c r="D30" s="138">
        <v>1</v>
      </c>
      <c r="E30" s="60">
        <v>300</v>
      </c>
      <c r="F30" s="62">
        <v>3.15</v>
      </c>
      <c r="G30" s="59">
        <v>0.2</v>
      </c>
      <c r="H30" s="39">
        <v>0.5</v>
      </c>
      <c r="I30" s="138"/>
      <c r="K30" s="138" t="s">
        <v>250</v>
      </c>
      <c r="L30" s="138">
        <v>18</v>
      </c>
    </row>
    <row r="31" spans="1:12" x14ac:dyDescent="0.25">
      <c r="C31" s="138" t="s">
        <v>532</v>
      </c>
      <c r="D31" s="138">
        <v>1</v>
      </c>
      <c r="E31" s="60">
        <v>500</v>
      </c>
      <c r="F31" s="62">
        <v>8</v>
      </c>
      <c r="G31" s="59">
        <v>0.9</v>
      </c>
      <c r="H31">
        <v>0.5</v>
      </c>
      <c r="I31" s="138"/>
      <c r="K31" s="138" t="s">
        <v>250</v>
      </c>
      <c r="L31" s="138">
        <v>22</v>
      </c>
    </row>
    <row r="32" spans="1:12" x14ac:dyDescent="0.25">
      <c r="C32" s="138" t="s">
        <v>533</v>
      </c>
      <c r="D32" s="138">
        <v>1</v>
      </c>
      <c r="E32" s="60">
        <v>400</v>
      </c>
      <c r="F32" s="62">
        <v>2.25</v>
      </c>
      <c r="G32" s="59">
        <v>0.2</v>
      </c>
      <c r="H32">
        <v>0.5</v>
      </c>
      <c r="I32" s="138"/>
      <c r="K32" s="138" t="s">
        <v>250</v>
      </c>
      <c r="L32" s="138">
        <v>24</v>
      </c>
    </row>
    <row r="33" spans="2:12" x14ac:dyDescent="0.25">
      <c r="C33" s="138" t="s">
        <v>534</v>
      </c>
      <c r="D33" s="138">
        <v>1</v>
      </c>
      <c r="E33" s="60">
        <v>200</v>
      </c>
      <c r="F33" s="62">
        <v>3.15</v>
      </c>
      <c r="G33" s="59">
        <v>0.2</v>
      </c>
      <c r="H33">
        <v>0.5</v>
      </c>
      <c r="I33" s="138"/>
      <c r="K33" s="138" t="s">
        <v>250</v>
      </c>
      <c r="L33" s="138">
        <v>35</v>
      </c>
    </row>
    <row r="34" spans="2:12" x14ac:dyDescent="0.25">
      <c r="C34" s="138" t="s">
        <v>535</v>
      </c>
      <c r="D34" s="138">
        <v>1</v>
      </c>
      <c r="E34" s="60">
        <v>200</v>
      </c>
      <c r="F34" s="62">
        <v>0</v>
      </c>
      <c r="G34" s="59">
        <v>0.2</v>
      </c>
      <c r="H34" s="39">
        <v>0</v>
      </c>
      <c r="I34" s="138"/>
      <c r="K34" s="138" t="s">
        <v>250</v>
      </c>
      <c r="L34" s="138">
        <v>36</v>
      </c>
    </row>
    <row r="35" spans="2:12" x14ac:dyDescent="0.25">
      <c r="C35" s="138" t="s">
        <v>536</v>
      </c>
      <c r="D35" s="138">
        <v>1</v>
      </c>
      <c r="E35" s="60">
        <v>200</v>
      </c>
      <c r="F35" s="62">
        <v>7</v>
      </c>
      <c r="G35" s="59">
        <v>0</v>
      </c>
      <c r="H35">
        <v>0.5</v>
      </c>
      <c r="I35" s="138"/>
      <c r="K35" s="138" t="s">
        <v>250</v>
      </c>
      <c r="L35" s="138">
        <v>38</v>
      </c>
    </row>
    <row r="36" spans="2:12" x14ac:dyDescent="0.25">
      <c r="C36" s="138" t="s">
        <v>537</v>
      </c>
      <c r="D36" s="138">
        <v>1</v>
      </c>
      <c r="E36" s="60">
        <v>300</v>
      </c>
      <c r="F36" s="62">
        <v>3.5</v>
      </c>
      <c r="G36" s="59">
        <v>0.5</v>
      </c>
      <c r="H36" s="39">
        <v>0.5</v>
      </c>
      <c r="I36" s="138"/>
      <c r="K36" s="138" t="s">
        <v>250</v>
      </c>
      <c r="L36" s="138">
        <v>39</v>
      </c>
    </row>
    <row r="37" spans="2:12" x14ac:dyDescent="0.25">
      <c r="C37" s="138" t="s">
        <v>538</v>
      </c>
      <c r="D37" s="138">
        <v>1</v>
      </c>
      <c r="E37" s="60">
        <v>300</v>
      </c>
      <c r="F37" s="62">
        <v>1.5</v>
      </c>
      <c r="G37" s="59">
        <v>0.5</v>
      </c>
      <c r="H37">
        <v>0.5</v>
      </c>
      <c r="I37" s="138"/>
      <c r="K37" s="138" t="s">
        <v>250</v>
      </c>
      <c r="L37" s="138">
        <v>47</v>
      </c>
    </row>
    <row r="38" spans="2:12" x14ac:dyDescent="0.25">
      <c r="C38" s="138" t="s">
        <v>539</v>
      </c>
      <c r="D38" s="138">
        <v>1</v>
      </c>
      <c r="E38" s="60">
        <v>400</v>
      </c>
      <c r="F38" s="62">
        <v>14</v>
      </c>
      <c r="G38" s="59">
        <v>1</v>
      </c>
      <c r="H38">
        <v>0.5</v>
      </c>
      <c r="I38" s="138"/>
      <c r="K38" s="138" t="s">
        <v>250</v>
      </c>
      <c r="L38" s="138">
        <v>48</v>
      </c>
    </row>
    <row r="39" spans="2:12" x14ac:dyDescent="0.25">
      <c r="C39" s="138" t="s">
        <v>540</v>
      </c>
      <c r="D39" s="138">
        <v>1</v>
      </c>
      <c r="E39" s="60">
        <v>200</v>
      </c>
      <c r="F39" s="62">
        <v>3</v>
      </c>
      <c r="G39" s="59">
        <v>0</v>
      </c>
      <c r="H39">
        <v>0.5</v>
      </c>
      <c r="I39" s="138"/>
      <c r="K39" s="138" t="s">
        <v>250</v>
      </c>
      <c r="L39" s="138">
        <v>50</v>
      </c>
    </row>
    <row r="40" spans="2:12" x14ac:dyDescent="0.25">
      <c r="C40" s="138" t="s">
        <v>541</v>
      </c>
      <c r="D40" s="138">
        <v>1</v>
      </c>
      <c r="E40" s="60">
        <v>200</v>
      </c>
      <c r="F40" s="62">
        <v>6</v>
      </c>
      <c r="G40" s="59">
        <v>0</v>
      </c>
      <c r="H40">
        <v>0.5</v>
      </c>
      <c r="I40" s="138"/>
      <c r="K40" s="138" t="s">
        <v>250</v>
      </c>
      <c r="L40" s="138">
        <v>51</v>
      </c>
    </row>
    <row r="41" spans="2:12" x14ac:dyDescent="0.25">
      <c r="C41" s="138" t="s">
        <v>542</v>
      </c>
      <c r="D41" s="138">
        <v>1</v>
      </c>
      <c r="E41" s="60">
        <v>300</v>
      </c>
      <c r="F41" s="62">
        <v>3.15</v>
      </c>
      <c r="G41" s="59">
        <v>0.3</v>
      </c>
      <c r="H41" s="39">
        <v>0.5</v>
      </c>
      <c r="I41" s="138"/>
      <c r="K41" s="138" t="s">
        <v>250</v>
      </c>
      <c r="L41" s="138">
        <v>52</v>
      </c>
    </row>
    <row r="42" spans="2:12" x14ac:dyDescent="0.25">
      <c r="C42" s="138" t="s">
        <v>543</v>
      </c>
      <c r="D42" s="138">
        <v>1</v>
      </c>
      <c r="E42" s="60">
        <v>300</v>
      </c>
      <c r="F42" s="62">
        <v>3.15</v>
      </c>
      <c r="G42" s="59">
        <v>0.2</v>
      </c>
      <c r="H42" s="39">
        <v>0.5</v>
      </c>
      <c r="I42" s="138"/>
      <c r="K42" s="138" t="s">
        <v>250</v>
      </c>
      <c r="L42" s="138">
        <v>56</v>
      </c>
    </row>
    <row r="43" spans="2:12" x14ac:dyDescent="0.25">
      <c r="B43" s="39"/>
      <c r="C43" s="138" t="s">
        <v>634</v>
      </c>
      <c r="D43" s="138">
        <v>0</v>
      </c>
      <c r="E43" s="138">
        <v>-999</v>
      </c>
      <c r="F43" s="138">
        <v>-999</v>
      </c>
      <c r="G43" s="138">
        <v>-999</v>
      </c>
      <c r="H43">
        <v>-999</v>
      </c>
      <c r="I43" s="138"/>
      <c r="K43" s="138" t="s">
        <v>250</v>
      </c>
      <c r="L43" s="138">
        <v>2</v>
      </c>
    </row>
    <row r="44" spans="2:12" x14ac:dyDescent="0.25">
      <c r="C44" s="138" t="s">
        <v>635</v>
      </c>
      <c r="D44" s="138">
        <v>0</v>
      </c>
      <c r="E44" s="138">
        <v>-999</v>
      </c>
      <c r="F44" s="138">
        <v>-999</v>
      </c>
      <c r="G44" s="138">
        <v>-999</v>
      </c>
      <c r="H44">
        <v>-999</v>
      </c>
      <c r="I44" s="138"/>
      <c r="K44" s="138" t="s">
        <v>250</v>
      </c>
      <c r="L44" s="138">
        <v>3</v>
      </c>
    </row>
    <row r="45" spans="2:12" x14ac:dyDescent="0.25">
      <c r="C45" s="138" t="s">
        <v>636</v>
      </c>
      <c r="D45" s="138">
        <v>0</v>
      </c>
      <c r="E45">
        <v>-999</v>
      </c>
      <c r="F45">
        <v>-999</v>
      </c>
      <c r="G45">
        <v>-999</v>
      </c>
      <c r="H45">
        <v>-999</v>
      </c>
      <c r="I45" s="138"/>
      <c r="K45" s="138" t="s">
        <v>250</v>
      </c>
      <c r="L45" s="138">
        <v>4</v>
      </c>
    </row>
    <row r="46" spans="2:12" x14ac:dyDescent="0.25">
      <c r="C46" s="138" t="s">
        <v>637</v>
      </c>
      <c r="D46" s="138">
        <v>0</v>
      </c>
      <c r="E46" s="138">
        <v>-999</v>
      </c>
      <c r="F46" s="138">
        <v>-999</v>
      </c>
      <c r="G46" s="138">
        <v>-999</v>
      </c>
      <c r="H46" s="39">
        <v>-999</v>
      </c>
      <c r="I46" s="138"/>
      <c r="K46" s="138" t="s">
        <v>250</v>
      </c>
      <c r="L46" s="138">
        <v>5</v>
      </c>
    </row>
    <row r="47" spans="2:12" x14ac:dyDescent="0.25">
      <c r="C47" s="138" t="s">
        <v>638</v>
      </c>
      <c r="D47" s="138">
        <v>0</v>
      </c>
      <c r="E47" s="138">
        <v>-999</v>
      </c>
      <c r="F47" s="138">
        <v>-999</v>
      </c>
      <c r="G47" s="138">
        <v>-999</v>
      </c>
      <c r="H47">
        <v>-999</v>
      </c>
      <c r="I47" s="138"/>
      <c r="K47" s="138" t="s">
        <v>250</v>
      </c>
      <c r="L47" s="138">
        <v>7</v>
      </c>
    </row>
    <row r="48" spans="2:12" x14ac:dyDescent="0.25">
      <c r="C48" s="138" t="s">
        <v>639</v>
      </c>
      <c r="D48" s="138">
        <v>0</v>
      </c>
      <c r="E48" s="138">
        <v>-999</v>
      </c>
      <c r="F48" s="138">
        <v>-999</v>
      </c>
      <c r="G48" s="138">
        <v>-999</v>
      </c>
      <c r="H48" s="39">
        <v>-999</v>
      </c>
      <c r="I48" s="138"/>
      <c r="K48" s="138" t="s">
        <v>250</v>
      </c>
      <c r="L48" s="138">
        <v>8</v>
      </c>
    </row>
    <row r="49" spans="3:12" x14ac:dyDescent="0.25">
      <c r="C49" s="138" t="s">
        <v>640</v>
      </c>
      <c r="D49" s="138">
        <v>0</v>
      </c>
      <c r="E49">
        <v>-999</v>
      </c>
      <c r="F49">
        <v>-999</v>
      </c>
      <c r="G49">
        <v>-999</v>
      </c>
      <c r="H49">
        <v>-999</v>
      </c>
      <c r="I49" s="138"/>
      <c r="K49" s="138" t="s">
        <v>250</v>
      </c>
      <c r="L49" s="138">
        <v>9</v>
      </c>
    </row>
    <row r="50" spans="3:12" x14ac:dyDescent="0.25">
      <c r="C50" s="138" t="s">
        <v>641</v>
      </c>
      <c r="D50" s="138">
        <v>0</v>
      </c>
      <c r="E50">
        <v>-999</v>
      </c>
      <c r="F50">
        <v>-999</v>
      </c>
      <c r="G50">
        <v>-999</v>
      </c>
      <c r="H50">
        <v>-999</v>
      </c>
      <c r="I50" s="138"/>
      <c r="K50" s="138" t="s">
        <v>250</v>
      </c>
      <c r="L50" s="138">
        <v>11</v>
      </c>
    </row>
    <row r="51" spans="3:12" x14ac:dyDescent="0.25">
      <c r="C51" s="138" t="s">
        <v>642</v>
      </c>
      <c r="D51" s="138">
        <v>0</v>
      </c>
      <c r="E51">
        <v>-999</v>
      </c>
      <c r="F51">
        <v>-999</v>
      </c>
      <c r="G51">
        <v>-999</v>
      </c>
      <c r="H51">
        <v>-999</v>
      </c>
      <c r="I51" s="138"/>
      <c r="K51" s="138" t="s">
        <v>250</v>
      </c>
      <c r="L51" s="138">
        <v>13</v>
      </c>
    </row>
    <row r="52" spans="3:12" x14ac:dyDescent="0.25">
      <c r="C52" s="138" t="s">
        <v>643</v>
      </c>
      <c r="D52" s="138">
        <v>0</v>
      </c>
      <c r="E52">
        <v>-999</v>
      </c>
      <c r="F52">
        <v>-999</v>
      </c>
      <c r="G52">
        <v>-999</v>
      </c>
      <c r="H52">
        <v>-999</v>
      </c>
      <c r="I52" s="138"/>
      <c r="K52" s="138" t="s">
        <v>250</v>
      </c>
      <c r="L52" s="138">
        <v>14</v>
      </c>
    </row>
    <row r="53" spans="3:12" x14ac:dyDescent="0.25">
      <c r="C53" s="138" t="s">
        <v>644</v>
      </c>
      <c r="D53" s="138">
        <v>0</v>
      </c>
      <c r="E53">
        <v>-999</v>
      </c>
      <c r="F53">
        <v>-999</v>
      </c>
      <c r="G53">
        <v>-999</v>
      </c>
      <c r="H53">
        <v>-999</v>
      </c>
      <c r="I53" s="138"/>
      <c r="K53" s="138" t="s">
        <v>250</v>
      </c>
      <c r="L53" s="138">
        <v>15</v>
      </c>
    </row>
    <row r="54" spans="3:12" x14ac:dyDescent="0.25">
      <c r="C54" s="138" t="s">
        <v>939</v>
      </c>
      <c r="D54" s="138">
        <v>0</v>
      </c>
      <c r="E54">
        <v>-999</v>
      </c>
      <c r="F54">
        <v>-999</v>
      </c>
      <c r="G54">
        <v>-999</v>
      </c>
      <c r="H54">
        <v>-999</v>
      </c>
      <c r="I54" s="138"/>
      <c r="K54" s="138" t="s">
        <v>250</v>
      </c>
      <c r="L54" s="138">
        <v>16</v>
      </c>
    </row>
    <row r="55" spans="3:12" x14ac:dyDescent="0.25">
      <c r="C55" s="138" t="s">
        <v>645</v>
      </c>
      <c r="D55" s="138">
        <v>0</v>
      </c>
      <c r="E55">
        <v>-999</v>
      </c>
      <c r="F55">
        <v>-999</v>
      </c>
      <c r="G55">
        <v>-999</v>
      </c>
      <c r="H55">
        <v>-999</v>
      </c>
      <c r="I55" s="138"/>
      <c r="K55" s="138" t="s">
        <v>250</v>
      </c>
      <c r="L55" s="138">
        <v>19</v>
      </c>
    </row>
    <row r="56" spans="3:12" x14ac:dyDescent="0.25">
      <c r="C56" s="138" t="s">
        <v>646</v>
      </c>
      <c r="D56" s="138">
        <v>0</v>
      </c>
      <c r="E56">
        <v>-999</v>
      </c>
      <c r="F56">
        <v>-999</v>
      </c>
      <c r="G56">
        <v>-999</v>
      </c>
      <c r="H56">
        <v>-999</v>
      </c>
      <c r="I56" s="138"/>
      <c r="K56" s="138" t="s">
        <v>250</v>
      </c>
      <c r="L56" s="138">
        <v>20</v>
      </c>
    </row>
    <row r="57" spans="3:12" x14ac:dyDescent="0.25">
      <c r="C57" s="138" t="s">
        <v>647</v>
      </c>
      <c r="D57" s="138">
        <v>0</v>
      </c>
      <c r="E57">
        <v>-999</v>
      </c>
      <c r="F57">
        <v>-999</v>
      </c>
      <c r="G57">
        <v>-999</v>
      </c>
      <c r="H57">
        <v>-999</v>
      </c>
      <c r="I57" s="138"/>
      <c r="K57" s="138" t="s">
        <v>250</v>
      </c>
      <c r="L57" s="138">
        <v>21</v>
      </c>
    </row>
    <row r="58" spans="3:12" s="138" customFormat="1" x14ac:dyDescent="0.25">
      <c r="C58" s="347" t="s">
        <v>940</v>
      </c>
      <c r="D58" s="347">
        <v>0</v>
      </c>
      <c r="E58" s="347">
        <v>-999</v>
      </c>
      <c r="F58" s="347">
        <v>-999</v>
      </c>
      <c r="G58" s="347">
        <v>-999</v>
      </c>
      <c r="H58" s="347">
        <v>-999</v>
      </c>
      <c r="I58" s="347"/>
      <c r="J58" s="347"/>
      <c r="K58" s="347" t="s">
        <v>250</v>
      </c>
      <c r="L58" s="347">
        <v>21</v>
      </c>
    </row>
    <row r="59" spans="3:12" x14ac:dyDescent="0.25">
      <c r="C59" s="138" t="s">
        <v>648</v>
      </c>
      <c r="D59" s="138">
        <v>0</v>
      </c>
      <c r="E59" s="138">
        <v>-999</v>
      </c>
      <c r="F59" s="138">
        <v>-999</v>
      </c>
      <c r="G59" s="138">
        <v>-999</v>
      </c>
      <c r="H59">
        <v>-999</v>
      </c>
      <c r="I59" s="138"/>
      <c r="K59" s="138" t="s">
        <v>250</v>
      </c>
      <c r="L59" s="138">
        <v>23</v>
      </c>
    </row>
    <row r="60" spans="3:12" x14ac:dyDescent="0.25">
      <c r="C60" s="138" t="s">
        <v>649</v>
      </c>
      <c r="D60" s="138">
        <v>0</v>
      </c>
      <c r="E60" s="138">
        <v>-999</v>
      </c>
      <c r="F60" s="138">
        <v>-999</v>
      </c>
      <c r="G60" s="138">
        <v>-999</v>
      </c>
      <c r="H60" s="39">
        <v>-999</v>
      </c>
      <c r="I60" s="138"/>
      <c r="K60" s="138" t="s">
        <v>250</v>
      </c>
      <c r="L60" s="138">
        <v>25</v>
      </c>
    </row>
    <row r="61" spans="3:12" x14ac:dyDescent="0.25">
      <c r="C61" s="138" t="s">
        <v>650</v>
      </c>
      <c r="D61" s="138">
        <v>0</v>
      </c>
      <c r="E61" s="138">
        <v>-999</v>
      </c>
      <c r="F61" s="138">
        <v>-999</v>
      </c>
      <c r="G61" s="138">
        <v>-999</v>
      </c>
      <c r="H61" s="39">
        <v>-999</v>
      </c>
      <c r="I61" s="138"/>
      <c r="K61" s="138" t="s">
        <v>250</v>
      </c>
      <c r="L61" s="138">
        <v>26</v>
      </c>
    </row>
    <row r="62" spans="3:12" x14ac:dyDescent="0.25">
      <c r="C62" s="138" t="s">
        <v>651</v>
      </c>
      <c r="D62" s="138">
        <v>0</v>
      </c>
      <c r="E62">
        <v>-999</v>
      </c>
      <c r="F62">
        <v>-999</v>
      </c>
      <c r="G62">
        <v>-999</v>
      </c>
      <c r="H62">
        <v>-999</v>
      </c>
      <c r="I62" s="138"/>
      <c r="K62" s="138" t="s">
        <v>250</v>
      </c>
      <c r="L62" s="138">
        <v>27</v>
      </c>
    </row>
    <row r="63" spans="3:12" x14ac:dyDescent="0.25">
      <c r="C63" s="138" t="s">
        <v>652</v>
      </c>
      <c r="D63" s="138">
        <v>0</v>
      </c>
      <c r="E63" s="138">
        <v>-999</v>
      </c>
      <c r="F63" s="138">
        <v>-999</v>
      </c>
      <c r="G63" s="138">
        <v>-999</v>
      </c>
      <c r="H63" s="39">
        <v>-999</v>
      </c>
      <c r="I63" s="138"/>
      <c r="K63" s="138" t="s">
        <v>250</v>
      </c>
      <c r="L63" s="138">
        <v>28</v>
      </c>
    </row>
    <row r="64" spans="3:12" x14ac:dyDescent="0.25">
      <c r="C64" s="138" t="s">
        <v>653</v>
      </c>
      <c r="D64" s="138">
        <v>0</v>
      </c>
      <c r="E64" s="138">
        <v>-999</v>
      </c>
      <c r="F64" s="138">
        <v>-999</v>
      </c>
      <c r="G64" s="138">
        <v>-999</v>
      </c>
      <c r="H64" s="39">
        <v>-999</v>
      </c>
      <c r="I64" s="138"/>
      <c r="K64" s="138" t="s">
        <v>250</v>
      </c>
      <c r="L64" s="138">
        <v>29</v>
      </c>
    </row>
    <row r="65" spans="3:12" x14ac:dyDescent="0.25">
      <c r="C65" s="138" t="s">
        <v>654</v>
      </c>
      <c r="D65" s="138">
        <v>0</v>
      </c>
      <c r="E65" s="138">
        <v>-999</v>
      </c>
      <c r="F65" s="138">
        <v>-999</v>
      </c>
      <c r="G65" s="138">
        <v>-999</v>
      </c>
      <c r="H65">
        <v>-999</v>
      </c>
      <c r="I65" s="138"/>
      <c r="K65" s="138" t="s">
        <v>250</v>
      </c>
      <c r="L65" s="138">
        <v>30</v>
      </c>
    </row>
    <row r="66" spans="3:12" x14ac:dyDescent="0.25">
      <c r="C66" s="138" t="s">
        <v>655</v>
      </c>
      <c r="D66" s="138">
        <v>0</v>
      </c>
      <c r="E66" s="138">
        <v>-999</v>
      </c>
      <c r="F66" s="138">
        <v>-999</v>
      </c>
      <c r="G66" s="138">
        <v>-999</v>
      </c>
      <c r="H66">
        <v>-999</v>
      </c>
      <c r="I66" s="138"/>
      <c r="K66" s="138" t="s">
        <v>250</v>
      </c>
      <c r="L66" s="138">
        <v>31</v>
      </c>
    </row>
    <row r="67" spans="3:12" x14ac:dyDescent="0.25">
      <c r="C67" s="138" t="s">
        <v>656</v>
      </c>
      <c r="D67" s="138">
        <v>0</v>
      </c>
      <c r="E67" s="138">
        <v>-999</v>
      </c>
      <c r="F67" s="138">
        <v>-999</v>
      </c>
      <c r="G67" s="138">
        <v>-999</v>
      </c>
      <c r="H67">
        <v>-999</v>
      </c>
      <c r="I67" s="138"/>
      <c r="K67" s="138" t="s">
        <v>250</v>
      </c>
      <c r="L67" s="138">
        <v>32</v>
      </c>
    </row>
    <row r="68" spans="3:12" x14ac:dyDescent="0.25">
      <c r="C68" s="138" t="s">
        <v>657</v>
      </c>
      <c r="D68" s="138">
        <v>0</v>
      </c>
      <c r="E68" s="138">
        <v>-999</v>
      </c>
      <c r="F68" s="138">
        <v>-999</v>
      </c>
      <c r="G68" s="138">
        <v>-999</v>
      </c>
      <c r="H68">
        <v>-999</v>
      </c>
      <c r="I68" s="138"/>
      <c r="K68" s="138" t="s">
        <v>250</v>
      </c>
      <c r="L68" s="138">
        <v>33</v>
      </c>
    </row>
    <row r="69" spans="3:12" x14ac:dyDescent="0.25">
      <c r="C69" s="138" t="s">
        <v>658</v>
      </c>
      <c r="D69" s="138">
        <v>0</v>
      </c>
      <c r="E69" s="138">
        <v>-999</v>
      </c>
      <c r="F69" s="138">
        <v>-999</v>
      </c>
      <c r="G69" s="138">
        <v>-999</v>
      </c>
      <c r="H69">
        <v>-999</v>
      </c>
      <c r="I69" s="138"/>
      <c r="K69" s="138" t="s">
        <v>250</v>
      </c>
      <c r="L69" s="138">
        <v>34</v>
      </c>
    </row>
    <row r="70" spans="3:12" x14ac:dyDescent="0.25">
      <c r="C70" s="138" t="s">
        <v>659</v>
      </c>
      <c r="D70" s="138">
        <v>0</v>
      </c>
      <c r="E70" s="138">
        <v>-999</v>
      </c>
      <c r="F70" s="138">
        <v>-999</v>
      </c>
      <c r="G70" s="138">
        <v>-999</v>
      </c>
      <c r="H70">
        <v>-999</v>
      </c>
      <c r="I70" s="138"/>
      <c r="K70" s="138" t="s">
        <v>250</v>
      </c>
      <c r="L70" s="138">
        <v>37</v>
      </c>
    </row>
    <row r="71" spans="3:12" x14ac:dyDescent="0.25">
      <c r="C71" s="138" t="s">
        <v>660</v>
      </c>
      <c r="D71" s="138">
        <v>0</v>
      </c>
      <c r="E71" s="138">
        <v>-999</v>
      </c>
      <c r="F71" s="138">
        <v>-999</v>
      </c>
      <c r="G71" s="138">
        <v>-999</v>
      </c>
      <c r="H71">
        <v>-999</v>
      </c>
      <c r="I71" s="138"/>
      <c r="K71" s="138" t="s">
        <v>250</v>
      </c>
      <c r="L71" s="138">
        <v>40</v>
      </c>
    </row>
    <row r="72" spans="3:12" s="138" customFormat="1" x14ac:dyDescent="0.25">
      <c r="C72" s="347" t="s">
        <v>941</v>
      </c>
      <c r="D72" s="347">
        <v>0</v>
      </c>
      <c r="E72" s="347">
        <v>-999</v>
      </c>
      <c r="F72" s="347">
        <v>-999</v>
      </c>
      <c r="G72" s="347">
        <v>-999</v>
      </c>
      <c r="H72" s="347">
        <v>-999</v>
      </c>
      <c r="I72" s="347"/>
      <c r="J72" s="347"/>
      <c r="K72" s="347" t="s">
        <v>250</v>
      </c>
      <c r="L72" s="347">
        <v>40</v>
      </c>
    </row>
    <row r="73" spans="3:12" x14ac:dyDescent="0.25">
      <c r="C73" s="138" t="s">
        <v>661</v>
      </c>
      <c r="D73" s="138">
        <v>0</v>
      </c>
      <c r="E73" s="138">
        <v>-999</v>
      </c>
      <c r="F73" s="138">
        <v>-999</v>
      </c>
      <c r="G73" s="138">
        <v>-999</v>
      </c>
      <c r="H73" s="39">
        <v>-999</v>
      </c>
      <c r="I73" s="138"/>
      <c r="K73" s="138" t="s">
        <v>250</v>
      </c>
      <c r="L73" s="138">
        <v>41</v>
      </c>
    </row>
    <row r="74" spans="3:12" x14ac:dyDescent="0.25">
      <c r="C74" s="138" t="s">
        <v>662</v>
      </c>
      <c r="D74" s="138">
        <v>0</v>
      </c>
      <c r="E74" s="138">
        <v>-999</v>
      </c>
      <c r="F74" s="138">
        <v>-999</v>
      </c>
      <c r="G74" s="138">
        <v>-999</v>
      </c>
      <c r="H74" s="39">
        <v>-999</v>
      </c>
      <c r="I74" s="138"/>
      <c r="K74" s="138" t="s">
        <v>250</v>
      </c>
      <c r="L74" s="138">
        <v>42</v>
      </c>
    </row>
    <row r="75" spans="3:12" x14ac:dyDescent="0.25">
      <c r="C75" s="138" t="s">
        <v>663</v>
      </c>
      <c r="D75" s="138">
        <v>0</v>
      </c>
      <c r="E75" s="138">
        <v>-999</v>
      </c>
      <c r="F75" s="138">
        <v>-999</v>
      </c>
      <c r="G75" s="138">
        <v>-999</v>
      </c>
      <c r="H75">
        <v>-999</v>
      </c>
      <c r="I75" s="138"/>
      <c r="K75" s="138" t="s">
        <v>250</v>
      </c>
      <c r="L75" s="138">
        <v>43</v>
      </c>
    </row>
    <row r="76" spans="3:12" x14ac:dyDescent="0.25">
      <c r="C76" s="138" t="s">
        <v>664</v>
      </c>
      <c r="D76" s="138">
        <v>0</v>
      </c>
      <c r="E76" s="138">
        <v>-999</v>
      </c>
      <c r="F76" s="138">
        <v>-999</v>
      </c>
      <c r="G76" s="138">
        <v>-999</v>
      </c>
      <c r="H76" s="39">
        <v>-999</v>
      </c>
      <c r="I76" s="138"/>
      <c r="K76" s="138" t="s">
        <v>250</v>
      </c>
      <c r="L76" s="138">
        <v>44</v>
      </c>
    </row>
    <row r="77" spans="3:12" x14ac:dyDescent="0.25">
      <c r="C77" s="138" t="s">
        <v>665</v>
      </c>
      <c r="D77" s="138">
        <v>0</v>
      </c>
      <c r="E77" s="138">
        <v>-999</v>
      </c>
      <c r="F77" s="138">
        <v>-999</v>
      </c>
      <c r="G77" s="138">
        <v>-999</v>
      </c>
      <c r="H77" s="39">
        <v>-999</v>
      </c>
      <c r="I77" s="138"/>
      <c r="K77" s="138" t="s">
        <v>250</v>
      </c>
      <c r="L77" s="138">
        <v>45</v>
      </c>
    </row>
    <row r="78" spans="3:12" x14ac:dyDescent="0.25">
      <c r="C78" s="138" t="s">
        <v>666</v>
      </c>
      <c r="D78" s="138">
        <v>0</v>
      </c>
      <c r="E78" s="138">
        <v>-999</v>
      </c>
      <c r="F78" s="138">
        <v>-999</v>
      </c>
      <c r="G78" s="138">
        <v>-999</v>
      </c>
      <c r="H78" s="39">
        <v>-999</v>
      </c>
      <c r="I78" s="138"/>
      <c r="K78" s="138" t="s">
        <v>250</v>
      </c>
      <c r="L78" s="138">
        <v>46</v>
      </c>
    </row>
    <row r="79" spans="3:12" s="138" customFormat="1" x14ac:dyDescent="0.25">
      <c r="C79" s="347" t="s">
        <v>942</v>
      </c>
      <c r="D79" s="347">
        <v>0</v>
      </c>
      <c r="E79" s="347">
        <v>-999</v>
      </c>
      <c r="F79" s="347">
        <v>-999</v>
      </c>
      <c r="G79" s="347">
        <v>-999</v>
      </c>
      <c r="H79" s="347">
        <v>-999</v>
      </c>
      <c r="I79" s="347"/>
      <c r="J79" s="347"/>
      <c r="K79" s="347" t="s">
        <v>250</v>
      </c>
      <c r="L79" s="347">
        <v>49</v>
      </c>
    </row>
    <row r="80" spans="3:12" x14ac:dyDescent="0.25">
      <c r="C80" s="138" t="s">
        <v>667</v>
      </c>
      <c r="D80" s="138">
        <v>0</v>
      </c>
      <c r="E80" s="138">
        <v>-999</v>
      </c>
      <c r="F80" s="138">
        <v>-999</v>
      </c>
      <c r="G80" s="138">
        <v>-999</v>
      </c>
      <c r="H80">
        <v>-999</v>
      </c>
      <c r="I80" s="138"/>
      <c r="K80" s="138" t="s">
        <v>250</v>
      </c>
      <c r="L80" s="138">
        <v>53</v>
      </c>
    </row>
    <row r="81" spans="2:12" x14ac:dyDescent="0.25">
      <c r="C81" s="138" t="s">
        <v>668</v>
      </c>
      <c r="D81" s="138">
        <v>0</v>
      </c>
      <c r="E81" s="138">
        <v>-999</v>
      </c>
      <c r="F81" s="138">
        <v>-999</v>
      </c>
      <c r="G81" s="138">
        <v>-999</v>
      </c>
      <c r="H81">
        <v>-999</v>
      </c>
      <c r="I81" s="138"/>
      <c r="K81" s="138" t="s">
        <v>250</v>
      </c>
      <c r="L81" s="138">
        <v>54</v>
      </c>
    </row>
    <row r="82" spans="2:12" x14ac:dyDescent="0.25">
      <c r="C82" s="138" t="s">
        <v>669</v>
      </c>
      <c r="D82" s="138">
        <v>0</v>
      </c>
      <c r="E82" s="138">
        <v>-999</v>
      </c>
      <c r="F82" s="138">
        <v>-999</v>
      </c>
      <c r="G82" s="138">
        <v>-999</v>
      </c>
      <c r="H82" s="39">
        <v>-999</v>
      </c>
      <c r="I82" s="138"/>
      <c r="K82" s="138" t="s">
        <v>250</v>
      </c>
      <c r="L82" s="138">
        <v>55</v>
      </c>
    </row>
    <row r="83" spans="2:12" x14ac:dyDescent="0.25">
      <c r="C83" s="138" t="s">
        <v>670</v>
      </c>
      <c r="D83" s="138">
        <v>0</v>
      </c>
      <c r="E83" s="138">
        <v>-999</v>
      </c>
      <c r="F83" s="138">
        <v>-999</v>
      </c>
      <c r="G83" s="138">
        <v>-999</v>
      </c>
      <c r="H83">
        <v>-999</v>
      </c>
      <c r="I83" s="138"/>
      <c r="K83" s="138" t="s">
        <v>250</v>
      </c>
      <c r="L83" s="138">
        <v>57</v>
      </c>
    </row>
    <row r="84" spans="2:12" x14ac:dyDescent="0.25">
      <c r="B84" t="s">
        <v>245</v>
      </c>
      <c r="K84" s="138"/>
      <c r="L84" s="138"/>
    </row>
  </sheetData>
  <sortState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57150</xdr:colOff>
                    <xdr:row>1</xdr:row>
                    <xdr:rowOff>104775</xdr:rowOff>
                  </from>
                  <to>
                    <xdr:col>5</xdr:col>
                    <xdr:colOff>19050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FF00"/>
  </sheetPr>
  <dimension ref="A1:L86"/>
  <sheetViews>
    <sheetView workbookViewId="0">
      <selection activeCell="F43" sqref="F43"/>
    </sheetView>
  </sheetViews>
  <sheetFormatPr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924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357</v>
      </c>
    </row>
    <row r="4" spans="1:5" x14ac:dyDescent="0.25">
      <c r="A4" s="138" t="s">
        <v>250</v>
      </c>
      <c r="C4" s="138" t="s">
        <v>444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358</v>
      </c>
    </row>
    <row r="7" spans="1:5" x14ac:dyDescent="0.25">
      <c r="A7" s="138" t="s">
        <v>250</v>
      </c>
      <c r="C7" s="138" t="s">
        <v>263</v>
      </c>
      <c r="D7" s="138" t="s">
        <v>264</v>
      </c>
      <c r="E7" s="138" t="s">
        <v>265</v>
      </c>
    </row>
    <row r="8" spans="1:5" x14ac:dyDescent="0.25">
      <c r="A8" s="138" t="s">
        <v>250</v>
      </c>
      <c r="B8" s="141"/>
      <c r="C8" s="144">
        <v>41249</v>
      </c>
      <c r="D8" s="145" t="s">
        <v>411</v>
      </c>
      <c r="E8" s="138" t="s">
        <v>266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267</v>
      </c>
    </row>
    <row r="12" spans="1:5" x14ac:dyDescent="0.25">
      <c r="A12" s="138" t="s">
        <v>250</v>
      </c>
      <c r="C12" s="138" t="s">
        <v>435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273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366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436</v>
      </c>
      <c r="D23" s="138" t="s">
        <v>672</v>
      </c>
      <c r="E23" s="141" t="s">
        <v>437</v>
      </c>
      <c r="F23" s="56" t="s">
        <v>438</v>
      </c>
      <c r="G23" s="138" t="s">
        <v>439</v>
      </c>
      <c r="H23" s="138" t="s">
        <v>923</v>
      </c>
    </row>
    <row r="24" spans="1:12" x14ac:dyDescent="0.25">
      <c r="C24" s="138" t="s">
        <v>443</v>
      </c>
      <c r="D24" s="138" t="s">
        <v>633</v>
      </c>
      <c r="E24" s="138" t="s">
        <v>440</v>
      </c>
      <c r="F24" s="138" t="s">
        <v>441</v>
      </c>
      <c r="G24" s="138" t="s">
        <v>442</v>
      </c>
      <c r="H24" s="138" t="s">
        <v>442</v>
      </c>
      <c r="K24" s="138" t="s">
        <v>671</v>
      </c>
    </row>
    <row r="25" spans="1:12" x14ac:dyDescent="0.25">
      <c r="C25" s="138" t="s">
        <v>526</v>
      </c>
      <c r="D25" s="138">
        <v>1</v>
      </c>
      <c r="E25" s="60">
        <v>300</v>
      </c>
      <c r="F25" s="61">
        <v>2.25</v>
      </c>
      <c r="G25" s="59">
        <v>0.3</v>
      </c>
      <c r="H25" s="138">
        <v>0.5</v>
      </c>
      <c r="K25" s="138" t="s">
        <v>250</v>
      </c>
      <c r="L25" s="138">
        <v>1</v>
      </c>
    </row>
    <row r="26" spans="1:12" x14ac:dyDescent="0.25">
      <c r="C26" s="138" t="s">
        <v>527</v>
      </c>
      <c r="D26" s="138">
        <v>1</v>
      </c>
      <c r="E26" s="60">
        <v>300</v>
      </c>
      <c r="F26" s="61">
        <v>3.15</v>
      </c>
      <c r="G26" s="59">
        <v>0.2</v>
      </c>
      <c r="H26" s="138">
        <v>0.5</v>
      </c>
      <c r="K26" s="138" t="s">
        <v>250</v>
      </c>
      <c r="L26" s="138">
        <v>6</v>
      </c>
    </row>
    <row r="27" spans="1:12" x14ac:dyDescent="0.25">
      <c r="C27" s="138" t="s">
        <v>528</v>
      </c>
      <c r="D27" s="138">
        <v>1</v>
      </c>
      <c r="E27" s="60">
        <v>300</v>
      </c>
      <c r="F27" s="62">
        <v>2.5</v>
      </c>
      <c r="G27" s="59">
        <v>0.4</v>
      </c>
      <c r="H27" s="138">
        <v>0.5</v>
      </c>
      <c r="K27" s="138" t="s">
        <v>250</v>
      </c>
      <c r="L27" s="138">
        <v>10</v>
      </c>
    </row>
    <row r="28" spans="1:12" x14ac:dyDescent="0.25">
      <c r="C28" s="138" t="s">
        <v>529</v>
      </c>
      <c r="D28" s="138">
        <v>1</v>
      </c>
      <c r="E28" s="60">
        <v>200</v>
      </c>
      <c r="F28" s="62">
        <v>1.5</v>
      </c>
      <c r="G28" s="59">
        <v>0.6</v>
      </c>
      <c r="H28" s="138">
        <v>0.5</v>
      </c>
      <c r="K28" s="138" t="s">
        <v>250</v>
      </c>
      <c r="L28" s="138">
        <v>12</v>
      </c>
    </row>
    <row r="29" spans="1:12" x14ac:dyDescent="0.25">
      <c r="C29" s="138" t="s">
        <v>530</v>
      </c>
      <c r="D29" s="138">
        <v>1</v>
      </c>
      <c r="E29" s="60">
        <v>150</v>
      </c>
      <c r="F29" s="62">
        <v>15</v>
      </c>
      <c r="G29" s="59">
        <v>1.2</v>
      </c>
      <c r="H29" s="138">
        <v>0.5</v>
      </c>
      <c r="K29" s="138" t="s">
        <v>250</v>
      </c>
      <c r="L29" s="138">
        <v>17</v>
      </c>
    </row>
    <row r="30" spans="1:12" x14ac:dyDescent="0.25">
      <c r="C30" s="138" t="s">
        <v>531</v>
      </c>
      <c r="D30" s="138">
        <v>1</v>
      </c>
      <c r="E30" s="60">
        <v>300</v>
      </c>
      <c r="F30" s="62">
        <v>3.15</v>
      </c>
      <c r="G30" s="59">
        <v>0.2</v>
      </c>
      <c r="H30" s="138">
        <v>0.5</v>
      </c>
      <c r="K30" s="138" t="s">
        <v>250</v>
      </c>
      <c r="L30" s="138">
        <v>18</v>
      </c>
    </row>
    <row r="31" spans="1:12" x14ac:dyDescent="0.25">
      <c r="C31" s="138" t="s">
        <v>532</v>
      </c>
      <c r="D31" s="138">
        <v>1</v>
      </c>
      <c r="E31" s="60">
        <v>500</v>
      </c>
      <c r="F31" s="62">
        <v>8</v>
      </c>
      <c r="G31" s="59">
        <v>0.9</v>
      </c>
      <c r="H31" s="138">
        <v>0.5</v>
      </c>
      <c r="K31" s="138" t="s">
        <v>250</v>
      </c>
      <c r="L31" s="138">
        <v>22</v>
      </c>
    </row>
    <row r="32" spans="1:12" x14ac:dyDescent="0.25">
      <c r="C32" s="138" t="s">
        <v>533</v>
      </c>
      <c r="D32" s="138">
        <v>1</v>
      </c>
      <c r="E32" s="60">
        <v>400</v>
      </c>
      <c r="F32" s="62">
        <v>2.25</v>
      </c>
      <c r="G32" s="59">
        <v>0.2</v>
      </c>
      <c r="H32" s="138">
        <v>0.5</v>
      </c>
      <c r="K32" s="138" t="s">
        <v>250</v>
      </c>
      <c r="L32" s="138">
        <v>24</v>
      </c>
    </row>
    <row r="33" spans="3:12" x14ac:dyDescent="0.25">
      <c r="C33" s="138" t="s">
        <v>534</v>
      </c>
      <c r="D33" s="138">
        <v>1</v>
      </c>
      <c r="E33" s="60">
        <v>200</v>
      </c>
      <c r="F33" s="62">
        <v>3.15</v>
      </c>
      <c r="G33" s="59">
        <v>0.2</v>
      </c>
      <c r="H33" s="138">
        <v>0.5</v>
      </c>
      <c r="K33" s="138" t="s">
        <v>250</v>
      </c>
      <c r="L33" s="138">
        <v>35</v>
      </c>
    </row>
    <row r="34" spans="3:12" x14ac:dyDescent="0.25">
      <c r="C34" s="138" t="s">
        <v>535</v>
      </c>
      <c r="D34" s="138">
        <v>1</v>
      </c>
      <c r="E34" s="60">
        <v>200</v>
      </c>
      <c r="F34" s="62">
        <v>0</v>
      </c>
      <c r="G34" s="59">
        <v>0.2</v>
      </c>
      <c r="H34" s="138">
        <v>0</v>
      </c>
      <c r="K34" s="138" t="s">
        <v>250</v>
      </c>
      <c r="L34" s="138">
        <v>36</v>
      </c>
    </row>
    <row r="35" spans="3:12" x14ac:dyDescent="0.25">
      <c r="C35" s="138" t="s">
        <v>536</v>
      </c>
      <c r="D35" s="138">
        <v>1</v>
      </c>
      <c r="E35" s="60">
        <v>200</v>
      </c>
      <c r="F35" s="62">
        <v>7</v>
      </c>
      <c r="G35" s="59">
        <v>0</v>
      </c>
      <c r="H35" s="138">
        <v>0.5</v>
      </c>
      <c r="K35" s="138" t="s">
        <v>250</v>
      </c>
      <c r="L35" s="138">
        <v>38</v>
      </c>
    </row>
    <row r="36" spans="3:12" x14ac:dyDescent="0.25">
      <c r="C36" s="138" t="s">
        <v>537</v>
      </c>
      <c r="D36" s="138">
        <v>1</v>
      </c>
      <c r="E36" s="60">
        <v>300</v>
      </c>
      <c r="F36" s="62">
        <v>3.5</v>
      </c>
      <c r="G36" s="59">
        <v>0.5</v>
      </c>
      <c r="H36" s="138">
        <v>0.5</v>
      </c>
      <c r="K36" s="138" t="s">
        <v>250</v>
      </c>
      <c r="L36" s="138">
        <v>39</v>
      </c>
    </row>
    <row r="37" spans="3:12" x14ac:dyDescent="0.25">
      <c r="C37" s="138" t="s">
        <v>538</v>
      </c>
      <c r="D37" s="138">
        <v>1</v>
      </c>
      <c r="E37" s="60">
        <v>300</v>
      </c>
      <c r="F37" s="62">
        <v>1.5</v>
      </c>
      <c r="G37" s="59">
        <v>0.5</v>
      </c>
      <c r="H37" s="138">
        <v>0.5</v>
      </c>
      <c r="K37" s="138" t="s">
        <v>250</v>
      </c>
      <c r="L37" s="138">
        <v>47</v>
      </c>
    </row>
    <row r="38" spans="3:12" x14ac:dyDescent="0.25">
      <c r="C38" s="138" t="s">
        <v>539</v>
      </c>
      <c r="D38" s="138">
        <v>1</v>
      </c>
      <c r="E38" s="60">
        <v>400</v>
      </c>
      <c r="F38" s="62">
        <v>14</v>
      </c>
      <c r="G38" s="59">
        <v>1</v>
      </c>
      <c r="H38" s="138">
        <v>0.5</v>
      </c>
      <c r="K38" s="138" t="s">
        <v>250</v>
      </c>
      <c r="L38" s="138">
        <v>48</v>
      </c>
    </row>
    <row r="39" spans="3:12" x14ac:dyDescent="0.25">
      <c r="C39" s="138" t="s">
        <v>540</v>
      </c>
      <c r="D39" s="138">
        <v>1</v>
      </c>
      <c r="E39" s="60">
        <v>200</v>
      </c>
      <c r="F39" s="62">
        <v>3</v>
      </c>
      <c r="G39" s="59">
        <v>0</v>
      </c>
      <c r="H39" s="138">
        <v>0.5</v>
      </c>
      <c r="K39" s="138" t="s">
        <v>250</v>
      </c>
      <c r="L39" s="138">
        <v>50</v>
      </c>
    </row>
    <row r="40" spans="3:12" x14ac:dyDescent="0.25">
      <c r="C40" s="138" t="s">
        <v>541</v>
      </c>
      <c r="D40" s="138">
        <v>1</v>
      </c>
      <c r="E40" s="60">
        <v>200</v>
      </c>
      <c r="F40" s="62">
        <v>6</v>
      </c>
      <c r="G40" s="59">
        <v>0</v>
      </c>
      <c r="H40" s="138">
        <v>0.5</v>
      </c>
      <c r="K40" s="138" t="s">
        <v>250</v>
      </c>
      <c r="L40" s="138">
        <v>51</v>
      </c>
    </row>
    <row r="41" spans="3:12" x14ac:dyDescent="0.25">
      <c r="C41" s="138" t="s">
        <v>542</v>
      </c>
      <c r="D41" s="138">
        <v>1</v>
      </c>
      <c r="E41" s="60">
        <v>300</v>
      </c>
      <c r="F41" s="62">
        <v>3.15</v>
      </c>
      <c r="G41" s="59">
        <v>0.3</v>
      </c>
      <c r="H41" s="138">
        <v>0.5</v>
      </c>
      <c r="K41" s="138" t="s">
        <v>250</v>
      </c>
      <c r="L41" s="138">
        <v>52</v>
      </c>
    </row>
    <row r="42" spans="3:12" x14ac:dyDescent="0.25">
      <c r="C42" s="138" t="s">
        <v>921</v>
      </c>
      <c r="D42" s="138">
        <v>1</v>
      </c>
      <c r="E42" s="60">
        <v>300</v>
      </c>
      <c r="F42" s="62">
        <v>3.15</v>
      </c>
      <c r="G42" s="59">
        <v>0.3</v>
      </c>
      <c r="H42" s="138">
        <v>0.5</v>
      </c>
      <c r="K42" s="138" t="s">
        <v>250</v>
      </c>
      <c r="L42" s="138">
        <v>53</v>
      </c>
    </row>
    <row r="43" spans="3:12" x14ac:dyDescent="0.25">
      <c r="C43" s="138" t="s">
        <v>922</v>
      </c>
      <c r="D43" s="138">
        <v>1</v>
      </c>
      <c r="E43" s="60">
        <v>300</v>
      </c>
      <c r="F43" s="62">
        <v>3.15</v>
      </c>
      <c r="G43" s="59">
        <v>0.3</v>
      </c>
      <c r="H43" s="138">
        <v>0.5</v>
      </c>
      <c r="K43" s="138" t="s">
        <v>250</v>
      </c>
      <c r="L43" s="138">
        <v>54</v>
      </c>
    </row>
    <row r="44" spans="3:12" x14ac:dyDescent="0.25">
      <c r="C44" s="138" t="s">
        <v>543</v>
      </c>
      <c r="D44" s="138">
        <v>1</v>
      </c>
      <c r="E44" s="60">
        <v>300</v>
      </c>
      <c r="F44" s="62">
        <v>3.15</v>
      </c>
      <c r="G44" s="59">
        <v>0.2</v>
      </c>
      <c r="H44" s="138">
        <v>0.5</v>
      </c>
      <c r="K44" s="138" t="s">
        <v>250</v>
      </c>
      <c r="L44" s="138">
        <v>58</v>
      </c>
    </row>
    <row r="45" spans="3:12" x14ac:dyDescent="0.25">
      <c r="C45" s="138" t="s">
        <v>634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</v>
      </c>
    </row>
    <row r="46" spans="3:12" x14ac:dyDescent="0.25">
      <c r="C46" s="138" t="s">
        <v>635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3</v>
      </c>
    </row>
    <row r="47" spans="3:12" x14ac:dyDescent="0.25">
      <c r="C47" s="138" t="s">
        <v>636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4</v>
      </c>
    </row>
    <row r="48" spans="3:12" x14ac:dyDescent="0.25">
      <c r="C48" s="138" t="s">
        <v>637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5</v>
      </c>
    </row>
    <row r="49" spans="3:12" x14ac:dyDescent="0.25">
      <c r="C49" s="138" t="s">
        <v>638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7</v>
      </c>
    </row>
    <row r="50" spans="3:12" x14ac:dyDescent="0.25">
      <c r="C50" s="138" t="s">
        <v>639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8</v>
      </c>
    </row>
    <row r="51" spans="3:12" x14ac:dyDescent="0.25">
      <c r="C51" s="138" t="s">
        <v>640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9</v>
      </c>
    </row>
    <row r="52" spans="3:12" x14ac:dyDescent="0.25">
      <c r="C52" s="138" t="s">
        <v>641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11</v>
      </c>
    </row>
    <row r="53" spans="3:12" x14ac:dyDescent="0.25">
      <c r="C53" s="138" t="s">
        <v>642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13</v>
      </c>
    </row>
    <row r="54" spans="3:12" x14ac:dyDescent="0.25">
      <c r="C54" s="138" t="s">
        <v>643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14</v>
      </c>
    </row>
    <row r="55" spans="3:12" x14ac:dyDescent="0.25">
      <c r="C55" s="138" t="s">
        <v>644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15</v>
      </c>
    </row>
    <row r="56" spans="3:12" x14ac:dyDescent="0.25">
      <c r="C56" s="138" t="s">
        <v>939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16</v>
      </c>
    </row>
    <row r="57" spans="3:12" x14ac:dyDescent="0.25">
      <c r="C57" s="138" t="s">
        <v>645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19</v>
      </c>
    </row>
    <row r="58" spans="3:12" x14ac:dyDescent="0.25">
      <c r="C58" s="138" t="s">
        <v>646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20</v>
      </c>
    </row>
    <row r="59" spans="3:12" x14ac:dyDescent="0.25">
      <c r="C59" s="138" t="s">
        <v>647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21</v>
      </c>
    </row>
    <row r="60" spans="3:12" x14ac:dyDescent="0.25">
      <c r="C60" s="347" t="s">
        <v>940</v>
      </c>
      <c r="D60" s="347">
        <v>0</v>
      </c>
      <c r="E60" s="347">
        <v>-999</v>
      </c>
      <c r="F60" s="347">
        <v>-999</v>
      </c>
      <c r="G60" s="347">
        <v>-999</v>
      </c>
      <c r="H60" s="347">
        <v>-999</v>
      </c>
      <c r="I60" s="347"/>
      <c r="J60" s="347"/>
      <c r="K60" s="347" t="s">
        <v>250</v>
      </c>
      <c r="L60" s="347">
        <v>21</v>
      </c>
    </row>
    <row r="61" spans="3:12" x14ac:dyDescent="0.25">
      <c r="C61" s="138" t="s">
        <v>648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23</v>
      </c>
    </row>
    <row r="62" spans="3:12" x14ac:dyDescent="0.25">
      <c r="C62" s="138" t="s">
        <v>649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25</v>
      </c>
    </row>
    <row r="63" spans="3:12" x14ac:dyDescent="0.25">
      <c r="C63" s="138" t="s">
        <v>650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26</v>
      </c>
    </row>
    <row r="64" spans="3:12" x14ac:dyDescent="0.25">
      <c r="C64" s="138" t="s">
        <v>651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27</v>
      </c>
    </row>
    <row r="65" spans="3:12" x14ac:dyDescent="0.25">
      <c r="C65" s="138" t="s">
        <v>652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</v>
      </c>
    </row>
    <row r="66" spans="3:12" x14ac:dyDescent="0.25">
      <c r="C66" s="138" t="s">
        <v>653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29</v>
      </c>
    </row>
    <row r="67" spans="3:12" x14ac:dyDescent="0.25">
      <c r="C67" s="138" t="s">
        <v>654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30</v>
      </c>
    </row>
    <row r="68" spans="3:12" x14ac:dyDescent="0.25">
      <c r="C68" s="138" t="s">
        <v>655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31</v>
      </c>
    </row>
    <row r="69" spans="3:12" x14ac:dyDescent="0.25">
      <c r="C69" s="138" t="s">
        <v>656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32</v>
      </c>
    </row>
    <row r="70" spans="3:12" x14ac:dyDescent="0.25">
      <c r="C70" s="138" t="s">
        <v>657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33</v>
      </c>
    </row>
    <row r="71" spans="3:12" x14ac:dyDescent="0.25">
      <c r="C71" s="138" t="s">
        <v>658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34</v>
      </c>
    </row>
    <row r="72" spans="3:12" x14ac:dyDescent="0.25">
      <c r="C72" s="138" t="s">
        <v>659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37</v>
      </c>
    </row>
    <row r="73" spans="3:12" x14ac:dyDescent="0.25">
      <c r="C73" s="138" t="s">
        <v>660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40</v>
      </c>
    </row>
    <row r="74" spans="3:12" x14ac:dyDescent="0.25">
      <c r="C74" s="347" t="s">
        <v>941</v>
      </c>
      <c r="D74" s="347">
        <v>0</v>
      </c>
      <c r="E74" s="347">
        <v>-999</v>
      </c>
      <c r="F74" s="347">
        <v>-999</v>
      </c>
      <c r="G74" s="347">
        <v>-999</v>
      </c>
      <c r="H74" s="347">
        <v>-999</v>
      </c>
      <c r="I74" s="347"/>
      <c r="J74" s="347"/>
      <c r="K74" s="347" t="s">
        <v>250</v>
      </c>
      <c r="L74" s="347">
        <v>40</v>
      </c>
    </row>
    <row r="75" spans="3:12" x14ac:dyDescent="0.25">
      <c r="C75" s="138" t="s">
        <v>661</v>
      </c>
      <c r="D75" s="138">
        <v>0</v>
      </c>
      <c r="E75" s="138">
        <v>-999</v>
      </c>
      <c r="F75" s="138">
        <v>-999</v>
      </c>
      <c r="G75" s="138">
        <v>-999</v>
      </c>
      <c r="H75" s="138">
        <v>-999</v>
      </c>
      <c r="K75" s="138" t="s">
        <v>250</v>
      </c>
      <c r="L75" s="138">
        <v>41</v>
      </c>
    </row>
    <row r="76" spans="3:12" x14ac:dyDescent="0.25">
      <c r="C76" s="138" t="s">
        <v>662</v>
      </c>
      <c r="D76" s="138">
        <v>0</v>
      </c>
      <c r="E76" s="138">
        <v>-999</v>
      </c>
      <c r="F76" s="138">
        <v>-999</v>
      </c>
      <c r="G76" s="138">
        <v>-999</v>
      </c>
      <c r="H76" s="138">
        <v>-999</v>
      </c>
      <c r="K76" s="138" t="s">
        <v>250</v>
      </c>
      <c r="L76" s="138">
        <v>42</v>
      </c>
    </row>
    <row r="77" spans="3:12" x14ac:dyDescent="0.25">
      <c r="C77" s="138" t="s">
        <v>663</v>
      </c>
      <c r="D77" s="138">
        <v>0</v>
      </c>
      <c r="E77" s="138">
        <v>-999</v>
      </c>
      <c r="F77" s="138">
        <v>-999</v>
      </c>
      <c r="G77" s="138">
        <v>-999</v>
      </c>
      <c r="H77" s="138">
        <v>-999</v>
      </c>
      <c r="K77" s="138" t="s">
        <v>250</v>
      </c>
      <c r="L77" s="138">
        <v>43</v>
      </c>
    </row>
    <row r="78" spans="3:12" x14ac:dyDescent="0.25">
      <c r="C78" s="138" t="s">
        <v>664</v>
      </c>
      <c r="D78" s="138">
        <v>0</v>
      </c>
      <c r="E78" s="138">
        <v>-999</v>
      </c>
      <c r="F78" s="138">
        <v>-999</v>
      </c>
      <c r="G78" s="138">
        <v>-999</v>
      </c>
      <c r="H78" s="138">
        <v>-999</v>
      </c>
      <c r="K78" s="138" t="s">
        <v>250</v>
      </c>
      <c r="L78" s="138">
        <v>44</v>
      </c>
    </row>
    <row r="79" spans="3:12" x14ac:dyDescent="0.25">
      <c r="C79" s="138" t="s">
        <v>665</v>
      </c>
      <c r="D79" s="138">
        <v>0</v>
      </c>
      <c r="E79" s="138">
        <v>-999</v>
      </c>
      <c r="F79" s="138">
        <v>-999</v>
      </c>
      <c r="G79" s="138">
        <v>-999</v>
      </c>
      <c r="H79" s="138">
        <v>-999</v>
      </c>
      <c r="K79" s="138" t="s">
        <v>250</v>
      </c>
      <c r="L79" s="138">
        <v>45</v>
      </c>
    </row>
    <row r="80" spans="3:12" x14ac:dyDescent="0.25">
      <c r="C80" s="138" t="s">
        <v>666</v>
      </c>
      <c r="D80" s="138">
        <v>0</v>
      </c>
      <c r="E80" s="138">
        <v>-999</v>
      </c>
      <c r="F80" s="138">
        <v>-999</v>
      </c>
      <c r="G80" s="138">
        <v>-999</v>
      </c>
      <c r="H80" s="138">
        <v>-999</v>
      </c>
      <c r="K80" s="138" t="s">
        <v>250</v>
      </c>
      <c r="L80" s="138">
        <v>46</v>
      </c>
    </row>
    <row r="81" spans="2:12" x14ac:dyDescent="0.25">
      <c r="C81" s="347" t="s">
        <v>942</v>
      </c>
      <c r="D81" s="347">
        <v>0</v>
      </c>
      <c r="E81" s="347">
        <v>-999</v>
      </c>
      <c r="F81" s="347">
        <v>-999</v>
      </c>
      <c r="G81" s="347">
        <v>-999</v>
      </c>
      <c r="H81" s="347">
        <v>-999</v>
      </c>
      <c r="I81" s="347"/>
      <c r="J81" s="347"/>
      <c r="K81" s="347" t="s">
        <v>250</v>
      </c>
      <c r="L81" s="347">
        <v>49</v>
      </c>
    </row>
    <row r="82" spans="2:12" x14ac:dyDescent="0.25">
      <c r="C82" s="138" t="s">
        <v>667</v>
      </c>
      <c r="D82" s="138">
        <v>0</v>
      </c>
      <c r="E82" s="138">
        <v>-999</v>
      </c>
      <c r="F82" s="138">
        <v>-999</v>
      </c>
      <c r="G82" s="138">
        <v>-999</v>
      </c>
      <c r="H82" s="138">
        <v>-999</v>
      </c>
      <c r="K82" s="138" t="s">
        <v>250</v>
      </c>
      <c r="L82" s="138">
        <v>55</v>
      </c>
    </row>
    <row r="83" spans="2:12" x14ac:dyDescent="0.25">
      <c r="C83" s="138" t="s">
        <v>668</v>
      </c>
      <c r="D83" s="138">
        <v>0</v>
      </c>
      <c r="E83" s="138">
        <v>-999</v>
      </c>
      <c r="F83" s="138">
        <v>-999</v>
      </c>
      <c r="G83" s="138">
        <v>-999</v>
      </c>
      <c r="H83" s="138">
        <v>-999</v>
      </c>
      <c r="K83" s="138" t="s">
        <v>250</v>
      </c>
      <c r="L83" s="138">
        <v>56</v>
      </c>
    </row>
    <row r="84" spans="2:12" x14ac:dyDescent="0.25">
      <c r="C84" s="138" t="s">
        <v>669</v>
      </c>
      <c r="D84" s="138">
        <v>0</v>
      </c>
      <c r="E84" s="138">
        <v>-999</v>
      </c>
      <c r="F84" s="138">
        <v>-999</v>
      </c>
      <c r="G84" s="138">
        <v>-999</v>
      </c>
      <c r="H84" s="138">
        <v>-999</v>
      </c>
      <c r="K84" s="138" t="s">
        <v>250</v>
      </c>
      <c r="L84" s="138">
        <v>57</v>
      </c>
    </row>
    <row r="85" spans="2:12" x14ac:dyDescent="0.25">
      <c r="C85" s="138" t="s">
        <v>670</v>
      </c>
      <c r="D85" s="138">
        <v>0</v>
      </c>
      <c r="E85" s="138">
        <v>-999</v>
      </c>
      <c r="F85" s="138">
        <v>-999</v>
      </c>
      <c r="G85" s="138">
        <v>-999</v>
      </c>
      <c r="H85" s="138">
        <v>-999</v>
      </c>
      <c r="K85" s="138" t="s">
        <v>250</v>
      </c>
      <c r="L85" s="138">
        <v>59</v>
      </c>
    </row>
    <row r="86" spans="2:12" x14ac:dyDescent="0.25">
      <c r="B86" s="138" t="s">
        <v>245</v>
      </c>
    </row>
  </sheetData>
  <sortState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76200</xdr:rowOff>
                  </from>
                  <to>
                    <xdr:col>4</xdr:col>
                    <xdr:colOff>866775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G37"/>
  <sheetViews>
    <sheetView workbookViewId="0">
      <selection activeCell="L28" sqref="L28"/>
    </sheetView>
  </sheetViews>
  <sheetFormatPr defaultRowHeight="15" x14ac:dyDescent="0.25"/>
  <cols>
    <col min="1" max="2" width="9.140625" style="39"/>
    <col min="3" max="3" width="11" style="39" customWidth="1"/>
    <col min="4" max="7" width="10.28515625" style="39" customWidth="1"/>
    <col min="8" max="16384" width="9.140625" style="39"/>
  </cols>
  <sheetData>
    <row r="1" spans="1:5" x14ac:dyDescent="0.25">
      <c r="A1" s="39" t="s">
        <v>250</v>
      </c>
      <c r="B1" s="39" t="s">
        <v>924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357</v>
      </c>
    </row>
    <row r="4" spans="1:5" x14ac:dyDescent="0.25">
      <c r="A4" s="39" t="s">
        <v>250</v>
      </c>
      <c r="C4" s="39" t="s">
        <v>446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358</v>
      </c>
    </row>
    <row r="7" spans="1:5" x14ac:dyDescent="0.25">
      <c r="A7" s="39" t="s">
        <v>250</v>
      </c>
      <c r="C7" s="39" t="s">
        <v>263</v>
      </c>
      <c r="D7" s="39" t="s">
        <v>264</v>
      </c>
      <c r="E7" s="39" t="s">
        <v>265</v>
      </c>
    </row>
    <row r="8" spans="1:5" x14ac:dyDescent="0.25">
      <c r="A8" s="39" t="s">
        <v>250</v>
      </c>
      <c r="B8" s="17"/>
      <c r="C8" s="25">
        <v>41249</v>
      </c>
      <c r="D8" s="33" t="s">
        <v>411</v>
      </c>
      <c r="E8" s="39" t="s">
        <v>266</v>
      </c>
    </row>
    <row r="9" spans="1:5" x14ac:dyDescent="0.25">
      <c r="A9" s="39" t="s">
        <v>250</v>
      </c>
      <c r="B9" s="17"/>
      <c r="C9" s="25"/>
      <c r="D9" s="33"/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267</v>
      </c>
    </row>
    <row r="12" spans="1:5" x14ac:dyDescent="0.25">
      <c r="A12" s="39" t="s">
        <v>250</v>
      </c>
      <c r="C12" s="39" t="s">
        <v>447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7" x14ac:dyDescent="0.25">
      <c r="A17" s="39" t="s">
        <v>250</v>
      </c>
      <c r="B17" s="39" t="s">
        <v>273</v>
      </c>
    </row>
    <row r="18" spans="1:7" x14ac:dyDescent="0.25">
      <c r="A18" s="39" t="s">
        <v>250</v>
      </c>
      <c r="C18" s="39" t="str">
        <f>C4&amp;"."&amp;D23&amp;"("&amp;C23&amp;"=u:TMGenIlmRnd, RCRCat=u:RCRCat)"</f>
        <v>IlluminanceLevelLPD.LPD(IllumLevel=u:TMGenIlmRnd, RCRCat=u:RCRCat)</v>
      </c>
    </row>
    <row r="19" spans="1:7" x14ac:dyDescent="0.25">
      <c r="A19" s="39" t="s">
        <v>250</v>
      </c>
    </row>
    <row r="20" spans="1:7" x14ac:dyDescent="0.25">
      <c r="A20" s="39" t="s">
        <v>250</v>
      </c>
    </row>
    <row r="21" spans="1:7" x14ac:dyDescent="0.25">
      <c r="A21" s="39" t="s">
        <v>366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140" t="s">
        <v>448</v>
      </c>
      <c r="D23" s="141" t="s">
        <v>457</v>
      </c>
      <c r="E23" s="141" t="s">
        <v>457</v>
      </c>
      <c r="F23" s="141" t="s">
        <v>457</v>
      </c>
      <c r="G23" s="141" t="s">
        <v>457</v>
      </c>
    </row>
    <row r="24" spans="1:7" x14ac:dyDescent="0.25">
      <c r="C24" s="140" t="s">
        <v>544</v>
      </c>
      <c r="D24" s="17" t="s">
        <v>453</v>
      </c>
      <c r="E24" s="17" t="s">
        <v>454</v>
      </c>
      <c r="F24" s="17" t="s">
        <v>455</v>
      </c>
      <c r="G24" s="17" t="s">
        <v>456</v>
      </c>
    </row>
    <row r="25" spans="1:7" x14ac:dyDescent="0.25">
      <c r="A25" s="138" t="s">
        <v>250</v>
      </c>
      <c r="C25" s="138" t="s">
        <v>440</v>
      </c>
      <c r="D25" s="39" t="s">
        <v>449</v>
      </c>
      <c r="E25" s="39" t="s">
        <v>450</v>
      </c>
      <c r="F25" s="39" t="s">
        <v>451</v>
      </c>
      <c r="G25" s="39" t="s">
        <v>452</v>
      </c>
    </row>
    <row r="26" spans="1:7" x14ac:dyDescent="0.25">
      <c r="C26" s="39">
        <v>50</v>
      </c>
      <c r="D26" s="63">
        <v>0.2</v>
      </c>
      <c r="E26" s="64">
        <v>0.3</v>
      </c>
      <c r="F26" s="59">
        <v>0.4</v>
      </c>
      <c r="G26" s="59">
        <v>0.6</v>
      </c>
    </row>
    <row r="27" spans="1:7" x14ac:dyDescent="0.25">
      <c r="C27" s="39">
        <v>100</v>
      </c>
      <c r="D27" s="63">
        <v>0.4</v>
      </c>
      <c r="E27" s="64">
        <v>0.6</v>
      </c>
      <c r="F27" s="59">
        <v>0.8</v>
      </c>
      <c r="G27" s="59">
        <v>1.2</v>
      </c>
    </row>
    <row r="28" spans="1:7" x14ac:dyDescent="0.25">
      <c r="C28" s="39">
        <f>C27+100</f>
        <v>200</v>
      </c>
      <c r="D28" s="63">
        <v>0.6</v>
      </c>
      <c r="E28" s="63">
        <v>0.8</v>
      </c>
      <c r="F28" s="59">
        <v>1.3</v>
      </c>
      <c r="G28" s="59">
        <v>1.9</v>
      </c>
    </row>
    <row r="29" spans="1:7" x14ac:dyDescent="0.25">
      <c r="C29" s="39">
        <f t="shared" ref="C29:C36" si="0">C28+100</f>
        <v>300</v>
      </c>
      <c r="D29" s="63">
        <v>0.8</v>
      </c>
      <c r="E29" s="63">
        <v>1</v>
      </c>
      <c r="F29" s="59">
        <v>1.4</v>
      </c>
      <c r="G29" s="59">
        <v>2</v>
      </c>
    </row>
    <row r="30" spans="1:7" x14ac:dyDescent="0.25">
      <c r="C30" s="39">
        <f t="shared" si="0"/>
        <v>400</v>
      </c>
      <c r="D30" s="63">
        <v>0.9</v>
      </c>
      <c r="E30" s="63">
        <v>1.1000000000000001</v>
      </c>
      <c r="F30" s="59">
        <v>1.5</v>
      </c>
      <c r="G30" s="59">
        <v>2.2000000000000002</v>
      </c>
    </row>
    <row r="31" spans="1:7" x14ac:dyDescent="0.25">
      <c r="C31" s="39">
        <f t="shared" si="0"/>
        <v>500</v>
      </c>
      <c r="D31" s="63">
        <v>1</v>
      </c>
      <c r="E31" s="63">
        <v>1.2</v>
      </c>
      <c r="F31" s="59">
        <v>1.6</v>
      </c>
      <c r="G31" s="59">
        <v>2.4</v>
      </c>
    </row>
    <row r="32" spans="1:7" x14ac:dyDescent="0.25">
      <c r="C32" s="39">
        <f t="shared" si="0"/>
        <v>600</v>
      </c>
      <c r="D32" s="63">
        <v>1.2</v>
      </c>
      <c r="E32" s="63">
        <v>1.4</v>
      </c>
      <c r="F32" s="59">
        <v>2</v>
      </c>
      <c r="G32" s="59">
        <v>2.9</v>
      </c>
    </row>
    <row r="33" spans="2:7" x14ac:dyDescent="0.25">
      <c r="C33" s="39">
        <f t="shared" si="0"/>
        <v>700</v>
      </c>
      <c r="D33" s="63">
        <v>1.4</v>
      </c>
      <c r="E33" s="63">
        <v>1.7</v>
      </c>
      <c r="F33" s="59">
        <v>2.2999999999999998</v>
      </c>
      <c r="G33" s="59">
        <v>3.3</v>
      </c>
    </row>
    <row r="34" spans="2:7" x14ac:dyDescent="0.25">
      <c r="C34" s="39">
        <f t="shared" si="0"/>
        <v>800</v>
      </c>
      <c r="D34" s="63">
        <v>1.6</v>
      </c>
      <c r="E34" s="63">
        <v>1.9</v>
      </c>
      <c r="F34" s="59">
        <v>2.6</v>
      </c>
      <c r="G34" s="59">
        <v>3.8</v>
      </c>
    </row>
    <row r="35" spans="2:7" x14ac:dyDescent="0.25">
      <c r="C35" s="39">
        <f t="shared" si="0"/>
        <v>900</v>
      </c>
      <c r="D35" s="63">
        <v>1.8</v>
      </c>
      <c r="E35" s="63">
        <v>2.2000000000000002</v>
      </c>
      <c r="F35" s="59">
        <v>3</v>
      </c>
      <c r="G35" s="59">
        <v>4.3</v>
      </c>
    </row>
    <row r="36" spans="2:7" x14ac:dyDescent="0.25">
      <c r="C36" s="39">
        <f t="shared" si="0"/>
        <v>1000</v>
      </c>
      <c r="D36" s="63">
        <v>1.9</v>
      </c>
      <c r="E36" s="63">
        <v>2.4</v>
      </c>
      <c r="F36" s="59">
        <v>3.3</v>
      </c>
      <c r="G36" s="59">
        <v>4.8</v>
      </c>
    </row>
    <row r="37" spans="2:7" x14ac:dyDescent="0.25">
      <c r="B37" s="39" t="s">
        <v>245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O37"/>
  <sheetViews>
    <sheetView workbookViewId="0">
      <selection activeCell="B1" sqref="B1"/>
    </sheetView>
  </sheetViews>
  <sheetFormatPr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925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357</v>
      </c>
    </row>
    <row r="4" spans="1:5" x14ac:dyDescent="0.25">
      <c r="A4" s="138" t="s">
        <v>250</v>
      </c>
      <c r="C4" s="138" t="s">
        <v>446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358</v>
      </c>
    </row>
    <row r="7" spans="1:5" x14ac:dyDescent="0.25">
      <c r="A7" s="138" t="s">
        <v>250</v>
      </c>
      <c r="C7" s="138" t="s">
        <v>263</v>
      </c>
      <c r="D7" s="138" t="s">
        <v>264</v>
      </c>
      <c r="E7" s="138" t="s">
        <v>265</v>
      </c>
    </row>
    <row r="8" spans="1:5" x14ac:dyDescent="0.25">
      <c r="A8" s="138" t="s">
        <v>250</v>
      </c>
      <c r="B8" s="141"/>
      <c r="C8" s="144">
        <v>42206</v>
      </c>
      <c r="D8" s="145" t="s">
        <v>411</v>
      </c>
      <c r="E8" s="138" t="s">
        <v>266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267</v>
      </c>
    </row>
    <row r="12" spans="1:5" x14ac:dyDescent="0.25">
      <c r="A12" s="138" t="s">
        <v>250</v>
      </c>
      <c r="C12" s="138" t="s">
        <v>447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273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366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448</v>
      </c>
      <c r="D23" s="141" t="s">
        <v>457</v>
      </c>
      <c r="E23" s="141" t="s">
        <v>457</v>
      </c>
      <c r="F23" s="141" t="s">
        <v>457</v>
      </c>
      <c r="G23" s="141" t="s">
        <v>457</v>
      </c>
    </row>
    <row r="24" spans="1:15" x14ac:dyDescent="0.25">
      <c r="C24" s="140" t="s">
        <v>544</v>
      </c>
      <c r="D24" s="141" t="s">
        <v>453</v>
      </c>
      <c r="E24" s="141" t="s">
        <v>454</v>
      </c>
      <c r="F24" s="141" t="s">
        <v>455</v>
      </c>
      <c r="G24" s="141" t="s">
        <v>456</v>
      </c>
    </row>
    <row r="25" spans="1:15" x14ac:dyDescent="0.25">
      <c r="A25" s="138" t="s">
        <v>250</v>
      </c>
      <c r="C25" s="138" t="s">
        <v>440</v>
      </c>
      <c r="D25" s="138" t="s">
        <v>449</v>
      </c>
      <c r="E25" s="138" t="s">
        <v>450</v>
      </c>
      <c r="F25" s="138" t="s">
        <v>451</v>
      </c>
      <c r="G25" s="138" t="s">
        <v>452</v>
      </c>
    </row>
    <row r="26" spans="1:15" x14ac:dyDescent="0.25">
      <c r="C26" s="138">
        <v>50</v>
      </c>
      <c r="D26" s="62">
        <v>0.18</v>
      </c>
      <c r="E26" s="61">
        <v>0.22</v>
      </c>
      <c r="F26" s="42">
        <v>0.32</v>
      </c>
      <c r="G26" s="42">
        <v>0.46</v>
      </c>
      <c r="L26" s="341"/>
      <c r="M26" s="341"/>
      <c r="N26" s="341"/>
      <c r="O26" s="341"/>
    </row>
    <row r="27" spans="1:15" x14ac:dyDescent="0.25">
      <c r="C27" s="138">
        <v>100</v>
      </c>
      <c r="D27" s="62">
        <v>0.3</v>
      </c>
      <c r="E27" s="61">
        <v>0.38</v>
      </c>
      <c r="F27" s="42">
        <v>0.56000000000000005</v>
      </c>
      <c r="G27" s="42">
        <v>0.84</v>
      </c>
      <c r="L27" s="341"/>
      <c r="M27" s="341"/>
      <c r="N27" s="341"/>
      <c r="O27" s="341"/>
    </row>
    <row r="28" spans="1:15" x14ac:dyDescent="0.25">
      <c r="C28" s="138">
        <f>C27+100</f>
        <v>200</v>
      </c>
      <c r="D28" s="62">
        <v>0.48</v>
      </c>
      <c r="E28" s="62">
        <v>0.64</v>
      </c>
      <c r="F28" s="42">
        <v>0.88</v>
      </c>
      <c r="G28" s="42">
        <v>1.34</v>
      </c>
      <c r="L28" s="341"/>
      <c r="M28" s="341"/>
      <c r="N28" s="341"/>
      <c r="O28" s="341"/>
    </row>
    <row r="29" spans="1:15" x14ac:dyDescent="0.25">
      <c r="C29" s="138">
        <f t="shared" ref="C29:C36" si="0">C28+100</f>
        <v>300</v>
      </c>
      <c r="D29" s="62">
        <v>0.64</v>
      </c>
      <c r="E29" s="62">
        <v>0.82</v>
      </c>
      <c r="F29" s="42">
        <v>1.1200000000000001</v>
      </c>
      <c r="G29" s="42">
        <v>1.76</v>
      </c>
      <c r="L29" s="341"/>
      <c r="M29" s="341"/>
      <c r="N29" s="341"/>
      <c r="O29" s="341"/>
    </row>
    <row r="30" spans="1:15" x14ac:dyDescent="0.25">
      <c r="C30" s="138">
        <f t="shared" si="0"/>
        <v>400</v>
      </c>
      <c r="D30" s="62">
        <v>0.78</v>
      </c>
      <c r="E30" s="62">
        <v>0.98</v>
      </c>
      <c r="F30" s="42">
        <v>1.34</v>
      </c>
      <c r="G30" s="42">
        <v>2.08</v>
      </c>
      <c r="L30" s="341"/>
      <c r="M30" s="341"/>
      <c r="N30" s="341"/>
      <c r="O30" s="341"/>
    </row>
    <row r="31" spans="1:15" x14ac:dyDescent="0.25">
      <c r="C31" s="138">
        <f t="shared" si="0"/>
        <v>500</v>
      </c>
      <c r="D31" s="62">
        <v>0.9</v>
      </c>
      <c r="E31" s="62">
        <v>1.1000000000000001</v>
      </c>
      <c r="F31" s="42">
        <v>1.52</v>
      </c>
      <c r="G31" s="42">
        <v>2.3199999999999998</v>
      </c>
      <c r="L31" s="341"/>
      <c r="M31" s="341"/>
      <c r="N31" s="341"/>
      <c r="O31" s="341"/>
    </row>
    <row r="32" spans="1:15" x14ac:dyDescent="0.25">
      <c r="C32" s="138">
        <f t="shared" si="0"/>
        <v>600</v>
      </c>
      <c r="D32" s="62">
        <v>1.06</v>
      </c>
      <c r="E32" s="62">
        <v>1.26</v>
      </c>
      <c r="F32" s="42">
        <v>1.74</v>
      </c>
      <c r="G32" s="42">
        <v>2.6</v>
      </c>
      <c r="L32" s="341"/>
      <c r="M32" s="341"/>
      <c r="N32" s="341"/>
      <c r="O32" s="341"/>
    </row>
    <row r="33" spans="2:15" x14ac:dyDescent="0.25">
      <c r="C33" s="138">
        <f t="shared" si="0"/>
        <v>700</v>
      </c>
      <c r="D33" s="62">
        <v>1.24</v>
      </c>
      <c r="E33" s="62">
        <v>1.46</v>
      </c>
      <c r="F33" s="42">
        <v>1.82</v>
      </c>
      <c r="G33" s="42">
        <v>2.96</v>
      </c>
      <c r="L33" s="341"/>
      <c r="M33" s="341"/>
      <c r="N33" s="341"/>
      <c r="O33" s="341"/>
    </row>
    <row r="34" spans="2:15" x14ac:dyDescent="0.25">
      <c r="C34" s="138">
        <f t="shared" si="0"/>
        <v>800</v>
      </c>
      <c r="D34" s="62">
        <v>1.44</v>
      </c>
      <c r="E34" s="62">
        <v>1.7</v>
      </c>
      <c r="F34" s="42">
        <v>2.2799999999999998</v>
      </c>
      <c r="G34" s="42">
        <v>3.3</v>
      </c>
      <c r="L34" s="341"/>
      <c r="M34" s="341"/>
      <c r="N34" s="341"/>
      <c r="O34" s="341"/>
    </row>
    <row r="35" spans="2:15" x14ac:dyDescent="0.25">
      <c r="C35" s="138">
        <f t="shared" si="0"/>
        <v>900</v>
      </c>
      <c r="D35" s="62">
        <v>1.66</v>
      </c>
      <c r="E35" s="62">
        <v>2</v>
      </c>
      <c r="F35" s="42">
        <v>2.64</v>
      </c>
      <c r="G35" s="42">
        <v>3.74</v>
      </c>
      <c r="L35" s="341"/>
      <c r="M35" s="341"/>
      <c r="N35" s="341"/>
      <c r="O35" s="341"/>
    </row>
    <row r="36" spans="2:15" x14ac:dyDescent="0.25">
      <c r="C36" s="138">
        <f t="shared" si="0"/>
        <v>1000</v>
      </c>
      <c r="D36" s="62">
        <v>1.84</v>
      </c>
      <c r="E36" s="62">
        <v>2.2000000000000002</v>
      </c>
      <c r="F36" s="42">
        <v>2.9</v>
      </c>
      <c r="G36" s="42">
        <v>4.0599999999999996</v>
      </c>
      <c r="L36" s="341"/>
      <c r="M36" s="341"/>
      <c r="N36" s="341"/>
      <c r="O36" s="341"/>
    </row>
    <row r="37" spans="2:15" x14ac:dyDescent="0.25">
      <c r="B37" s="138" t="s">
        <v>245</v>
      </c>
      <c r="E37" s="42"/>
      <c r="F37" s="42"/>
      <c r="G37" s="4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J55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10" x14ac:dyDescent="0.25">
      <c r="A1" s="138" t="s">
        <v>250</v>
      </c>
      <c r="B1" s="138" t="s">
        <v>924</v>
      </c>
      <c r="C1" s="138"/>
      <c r="D1" s="138"/>
      <c r="E1" s="138"/>
      <c r="F1" s="138"/>
      <c r="G1" s="138"/>
      <c r="H1" s="138"/>
      <c r="I1" s="138"/>
      <c r="J1" s="138"/>
    </row>
    <row r="2" spans="1:10" x14ac:dyDescent="0.25">
      <c r="A2" s="138" t="s">
        <v>250</v>
      </c>
      <c r="B2" s="138"/>
      <c r="C2" s="138"/>
      <c r="D2" s="138"/>
      <c r="E2" s="138"/>
      <c r="F2" s="138"/>
      <c r="G2" s="138"/>
      <c r="H2" s="138"/>
      <c r="I2" s="138"/>
      <c r="J2" s="138"/>
    </row>
    <row r="3" spans="1:10" x14ac:dyDescent="0.25">
      <c r="A3" s="138" t="s">
        <v>250</v>
      </c>
      <c r="B3" s="138" t="s">
        <v>357</v>
      </c>
      <c r="C3" s="138"/>
      <c r="D3" s="138"/>
      <c r="E3" s="138"/>
      <c r="F3" s="138"/>
      <c r="G3" s="138"/>
      <c r="H3" s="138"/>
      <c r="I3" s="138"/>
      <c r="J3" s="138"/>
    </row>
    <row r="4" spans="1:10" x14ac:dyDescent="0.25">
      <c r="A4" s="138" t="s">
        <v>250</v>
      </c>
      <c r="B4" s="138"/>
      <c r="C4" s="138" t="s">
        <v>588</v>
      </c>
      <c r="D4" s="138"/>
      <c r="E4" s="138"/>
      <c r="F4" s="138"/>
      <c r="G4" s="138"/>
      <c r="H4" s="138"/>
      <c r="I4" s="138"/>
      <c r="J4" s="138"/>
    </row>
    <row r="5" spans="1:10" x14ac:dyDescent="0.25">
      <c r="A5" s="138" t="s">
        <v>250</v>
      </c>
      <c r="B5" s="138"/>
      <c r="C5" s="138"/>
      <c r="D5" s="138"/>
      <c r="E5" s="138"/>
      <c r="F5" s="138"/>
      <c r="G5" s="138"/>
      <c r="H5" s="138"/>
      <c r="I5" s="138"/>
      <c r="J5" s="138"/>
    </row>
    <row r="6" spans="1:10" x14ac:dyDescent="0.25">
      <c r="A6" s="138" t="s">
        <v>250</v>
      </c>
      <c r="B6" s="138" t="s">
        <v>358</v>
      </c>
      <c r="C6" s="138"/>
      <c r="D6" s="138"/>
      <c r="E6" s="138"/>
      <c r="F6" s="138"/>
      <c r="G6" s="138"/>
      <c r="H6" s="138"/>
      <c r="I6" s="138"/>
      <c r="J6" s="138"/>
    </row>
    <row r="7" spans="1:10" x14ac:dyDescent="0.25">
      <c r="A7" s="138" t="s">
        <v>250</v>
      </c>
      <c r="B7" s="138"/>
      <c r="C7" s="138" t="s">
        <v>263</v>
      </c>
      <c r="D7" s="138" t="s">
        <v>264</v>
      </c>
      <c r="E7" s="138" t="s">
        <v>265</v>
      </c>
      <c r="F7" s="138"/>
      <c r="G7" s="138"/>
      <c r="H7" s="138"/>
      <c r="I7" s="138"/>
      <c r="J7" s="138"/>
    </row>
    <row r="8" spans="1:10" x14ac:dyDescent="0.25">
      <c r="A8" s="138" t="s">
        <v>250</v>
      </c>
      <c r="B8" s="141"/>
      <c r="C8" s="144">
        <v>41841</v>
      </c>
      <c r="D8" s="145" t="s">
        <v>411</v>
      </c>
      <c r="E8" s="138" t="s">
        <v>266</v>
      </c>
      <c r="F8" s="138"/>
      <c r="G8" s="138"/>
      <c r="H8" s="138"/>
      <c r="I8" s="138"/>
      <c r="J8" s="138"/>
    </row>
    <row r="9" spans="1:10" x14ac:dyDescent="0.25">
      <c r="A9" s="138" t="s">
        <v>250</v>
      </c>
      <c r="B9" s="141"/>
      <c r="C9" s="144"/>
      <c r="D9" s="145"/>
      <c r="E9" s="138"/>
      <c r="F9" s="138"/>
      <c r="G9" s="138"/>
      <c r="H9" s="138"/>
      <c r="I9" s="138"/>
      <c r="J9" s="138"/>
    </row>
    <row r="10" spans="1:10" x14ac:dyDescent="0.25">
      <c r="A10" s="138" t="s">
        <v>250</v>
      </c>
      <c r="B10" s="141"/>
      <c r="C10" s="144"/>
      <c r="D10" s="138"/>
      <c r="E10" s="138"/>
      <c r="F10" s="138"/>
      <c r="G10" s="138"/>
      <c r="H10" s="138"/>
      <c r="I10" s="138"/>
      <c r="J10" s="138"/>
    </row>
    <row r="11" spans="1:10" x14ac:dyDescent="0.25">
      <c r="A11" s="138" t="s">
        <v>250</v>
      </c>
      <c r="B11" s="138" t="s">
        <v>267</v>
      </c>
      <c r="C11" s="138"/>
      <c r="D11" s="138"/>
      <c r="E11" s="138"/>
      <c r="F11" s="138"/>
      <c r="G11" s="138"/>
      <c r="H11" s="138"/>
      <c r="I11" s="138"/>
      <c r="J11" s="138"/>
    </row>
    <row r="12" spans="1:10" x14ac:dyDescent="0.25">
      <c r="A12" s="138" t="s">
        <v>250</v>
      </c>
      <c r="B12" s="138"/>
      <c r="C12" s="138" t="s">
        <v>587</v>
      </c>
      <c r="D12" s="138"/>
      <c r="E12" s="138"/>
      <c r="F12" s="138"/>
      <c r="G12" s="138"/>
      <c r="H12" s="138"/>
      <c r="I12" s="138"/>
      <c r="J12" s="138"/>
    </row>
    <row r="13" spans="1:10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  <c r="I13" s="138"/>
      <c r="J13" s="138"/>
    </row>
    <row r="14" spans="1:10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  <c r="H14" s="138"/>
      <c r="I14" s="138"/>
      <c r="J14" s="138"/>
    </row>
    <row r="15" spans="1:10" x14ac:dyDescent="0.25">
      <c r="A15" s="138" t="s">
        <v>250</v>
      </c>
      <c r="B15" s="138"/>
      <c r="C15" s="138"/>
      <c r="D15" s="138"/>
      <c r="E15" s="138"/>
      <c r="F15" s="138"/>
      <c r="G15" s="138"/>
      <c r="H15" s="138"/>
      <c r="I15" s="138"/>
      <c r="J15" s="138"/>
    </row>
    <row r="16" spans="1:10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  <c r="I16" s="138"/>
      <c r="J16" s="138"/>
    </row>
    <row r="17" spans="1:10" x14ac:dyDescent="0.25">
      <c r="A17" s="138" t="s">
        <v>250</v>
      </c>
      <c r="B17" s="138" t="s">
        <v>273</v>
      </c>
      <c r="C17" s="138"/>
      <c r="D17" s="138"/>
      <c r="E17" s="138"/>
      <c r="F17" s="138"/>
      <c r="G17" s="138"/>
      <c r="H17" s="138"/>
      <c r="I17" s="138"/>
      <c r="J17" s="138"/>
    </row>
    <row r="18" spans="1:10" x14ac:dyDescent="0.25">
      <c r="A18" s="138" t="s">
        <v>250</v>
      </c>
      <c r="B18" s="138"/>
      <c r="C18" s="138" t="str">
        <f>C4&amp;":"&amp;F23&amp;"("&amp;C23&amp;"=u:XXX, "&amp;D23&amp;"=u:XXX, "&amp;E23&amp;"=u:XXX)"</f>
        <v>LightHeatGainDistribution:HtGnSpcFrac(FixtureType=u:XXX, LampType=u:XXX, ReturnType=u:XXX)</v>
      </c>
      <c r="D18" s="138"/>
      <c r="E18" s="138"/>
      <c r="F18" s="138"/>
      <c r="G18" s="138"/>
      <c r="H18" s="138"/>
      <c r="I18" s="138"/>
      <c r="J18" s="138"/>
    </row>
    <row r="19" spans="1:10" x14ac:dyDescent="0.25">
      <c r="A19" s="138" t="s">
        <v>250</v>
      </c>
      <c r="B19" s="138"/>
      <c r="C19" s="138"/>
      <c r="D19" s="138"/>
      <c r="E19" s="138"/>
      <c r="F19" s="138"/>
      <c r="G19" s="138"/>
      <c r="H19" s="138"/>
      <c r="I19" s="138"/>
      <c r="J19" s="138"/>
    </row>
    <row r="20" spans="1:10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</row>
    <row r="21" spans="1:10" x14ac:dyDescent="0.25">
      <c r="A21" s="138" t="s">
        <v>366</v>
      </c>
      <c r="B21" s="138"/>
      <c r="C21" s="138"/>
      <c r="D21" s="138"/>
      <c r="E21" s="138"/>
      <c r="F21" s="138"/>
      <c r="G21" s="138"/>
      <c r="H21" s="138"/>
      <c r="I21" s="138"/>
      <c r="J21" s="138"/>
    </row>
    <row r="22" spans="1:10" x14ac:dyDescent="0.25">
      <c r="A22" s="138"/>
      <c r="B22" s="140" t="str">
        <f>"TABLE "&amp;$C$4</f>
        <v>TABLE LightHeatGainDistribution</v>
      </c>
      <c r="C22" s="140"/>
      <c r="D22" s="138"/>
      <c r="E22" s="138"/>
      <c r="F22" s="138"/>
      <c r="G22" s="138"/>
      <c r="H22" s="138"/>
      <c r="I22" s="138"/>
      <c r="J22" s="138"/>
    </row>
    <row r="23" spans="1:10" x14ac:dyDescent="0.25">
      <c r="A23" s="138"/>
      <c r="B23" s="138"/>
      <c r="C23" s="140" t="s">
        <v>589</v>
      </c>
      <c r="D23" s="141" t="s">
        <v>590</v>
      </c>
      <c r="E23" s="141" t="s">
        <v>591</v>
      </c>
      <c r="F23" s="141" t="s">
        <v>592</v>
      </c>
      <c r="G23" s="141" t="s">
        <v>593</v>
      </c>
      <c r="H23" s="138"/>
      <c r="I23" s="138"/>
      <c r="J23" s="138"/>
    </row>
    <row r="24" spans="1:10" x14ac:dyDescent="0.25">
      <c r="A24" s="138"/>
      <c r="B24" s="138"/>
      <c r="C24" s="140" t="s">
        <v>594</v>
      </c>
      <c r="D24" s="141" t="s">
        <v>595</v>
      </c>
      <c r="E24" s="141" t="s">
        <v>596</v>
      </c>
      <c r="F24" s="158">
        <v>1</v>
      </c>
      <c r="G24" s="158">
        <v>0.67</v>
      </c>
      <c r="H24" s="138"/>
      <c r="I24" s="138"/>
      <c r="J24" s="138"/>
    </row>
    <row r="25" spans="1:10" x14ac:dyDescent="0.25">
      <c r="A25" s="138"/>
      <c r="B25" s="138"/>
      <c r="C25" s="140" t="s">
        <v>594</v>
      </c>
      <c r="D25" s="141" t="s">
        <v>595</v>
      </c>
      <c r="E25" s="138" t="s">
        <v>597</v>
      </c>
      <c r="F25" s="158">
        <v>0.45</v>
      </c>
      <c r="G25" s="158">
        <v>0.67</v>
      </c>
      <c r="H25" s="138"/>
      <c r="I25" s="138"/>
      <c r="J25" s="138"/>
    </row>
    <row r="26" spans="1:10" x14ac:dyDescent="0.25">
      <c r="A26" s="138"/>
      <c r="B26" s="138"/>
      <c r="C26" s="140" t="s">
        <v>605</v>
      </c>
      <c r="D26" s="141" t="s">
        <v>595</v>
      </c>
      <c r="E26" s="141" t="s">
        <v>596</v>
      </c>
      <c r="F26" s="158">
        <v>1</v>
      </c>
      <c r="G26" s="158">
        <v>0.57999999999999996</v>
      </c>
      <c r="H26" s="138"/>
      <c r="I26" s="138"/>
      <c r="J26" s="138"/>
    </row>
    <row r="27" spans="1:10" x14ac:dyDescent="0.25">
      <c r="A27" s="138"/>
      <c r="B27" s="138"/>
      <c r="C27" s="140" t="s">
        <v>605</v>
      </c>
      <c r="D27" s="141" t="s">
        <v>595</v>
      </c>
      <c r="E27" s="138" t="s">
        <v>597</v>
      </c>
      <c r="F27" s="158">
        <v>0.69</v>
      </c>
      <c r="G27" s="158">
        <v>0.57999999999999996</v>
      </c>
      <c r="H27" s="138"/>
      <c r="I27" s="138"/>
      <c r="J27" s="138"/>
    </row>
    <row r="28" spans="1:10" x14ac:dyDescent="0.25">
      <c r="A28" s="138"/>
      <c r="B28" s="138"/>
      <c r="C28" s="140" t="s">
        <v>605</v>
      </c>
      <c r="D28" s="63" t="s">
        <v>598</v>
      </c>
      <c r="E28" s="141" t="s">
        <v>596</v>
      </c>
      <c r="F28" s="158">
        <v>1</v>
      </c>
      <c r="G28" s="158">
        <v>0.97</v>
      </c>
      <c r="H28" s="138"/>
      <c r="I28" s="138"/>
      <c r="J28" s="138"/>
    </row>
    <row r="29" spans="1:10" x14ac:dyDescent="0.25">
      <c r="A29" s="138"/>
      <c r="B29" s="138"/>
      <c r="C29" s="140" t="s">
        <v>605</v>
      </c>
      <c r="D29" s="63" t="s">
        <v>598</v>
      </c>
      <c r="E29" s="138" t="s">
        <v>597</v>
      </c>
      <c r="F29" s="158">
        <v>0.2</v>
      </c>
      <c r="G29" s="158">
        <v>0.97</v>
      </c>
      <c r="H29" s="138"/>
      <c r="I29" s="138"/>
      <c r="J29" s="138"/>
    </row>
    <row r="30" spans="1:10" x14ac:dyDescent="0.25">
      <c r="A30" s="138"/>
      <c r="B30" s="138"/>
      <c r="C30" s="140" t="s">
        <v>605</v>
      </c>
      <c r="D30" s="63" t="s">
        <v>599</v>
      </c>
      <c r="E30" s="141" t="s">
        <v>596</v>
      </c>
      <c r="F30" s="158">
        <v>1</v>
      </c>
      <c r="G30" s="158">
        <v>0.97</v>
      </c>
      <c r="H30" s="138"/>
      <c r="I30" s="138"/>
      <c r="J30" s="138"/>
    </row>
    <row r="31" spans="1:10" x14ac:dyDescent="0.25">
      <c r="A31" s="138"/>
      <c r="B31" s="138"/>
      <c r="C31" s="140" t="s">
        <v>605</v>
      </c>
      <c r="D31" s="63" t="s">
        <v>599</v>
      </c>
      <c r="E31" s="138" t="s">
        <v>597</v>
      </c>
      <c r="F31" s="158">
        <v>0.75</v>
      </c>
      <c r="G31" s="158">
        <v>0.97</v>
      </c>
      <c r="H31" s="138"/>
      <c r="I31" s="138"/>
      <c r="J31" s="138"/>
    </row>
    <row r="32" spans="1:10" x14ac:dyDescent="0.25">
      <c r="A32" s="138"/>
      <c r="B32" s="138"/>
      <c r="C32" s="140" t="s">
        <v>605</v>
      </c>
      <c r="D32" s="63" t="s">
        <v>600</v>
      </c>
      <c r="E32" s="141" t="s">
        <v>596</v>
      </c>
      <c r="F32" s="158">
        <v>1</v>
      </c>
      <c r="G32" s="158">
        <v>0.97</v>
      </c>
      <c r="H32" s="138"/>
      <c r="I32" s="138"/>
      <c r="J32" s="138"/>
    </row>
    <row r="33" spans="1:10" x14ac:dyDescent="0.25">
      <c r="A33" s="138"/>
      <c r="B33" s="138"/>
      <c r="C33" s="140" t="s">
        <v>605</v>
      </c>
      <c r="D33" s="63" t="s">
        <v>600</v>
      </c>
      <c r="E33" s="138" t="s">
        <v>597</v>
      </c>
      <c r="F33" s="158">
        <v>0.2</v>
      </c>
      <c r="G33" s="158">
        <v>0.97</v>
      </c>
      <c r="H33" s="138"/>
      <c r="I33" s="138"/>
      <c r="J33" s="138"/>
    </row>
    <row r="34" spans="1:10" x14ac:dyDescent="0.25">
      <c r="A34" s="138"/>
      <c r="B34" s="138"/>
      <c r="C34" s="140" t="s">
        <v>605</v>
      </c>
      <c r="D34" s="63" t="s">
        <v>601</v>
      </c>
      <c r="E34" s="141" t="s">
        <v>596</v>
      </c>
      <c r="F34" s="158">
        <v>1</v>
      </c>
      <c r="G34" s="158">
        <v>0.97</v>
      </c>
      <c r="H34" s="138"/>
      <c r="I34" s="138"/>
      <c r="J34" s="138"/>
    </row>
    <row r="35" spans="1:10" x14ac:dyDescent="0.25">
      <c r="A35" s="138"/>
      <c r="B35" s="138"/>
      <c r="C35" s="140" t="s">
        <v>605</v>
      </c>
      <c r="D35" s="63" t="s">
        <v>601</v>
      </c>
      <c r="E35" s="138" t="s">
        <v>597</v>
      </c>
      <c r="F35" s="158">
        <v>0.75</v>
      </c>
      <c r="G35" s="158">
        <v>0.97</v>
      </c>
      <c r="H35" s="138"/>
      <c r="I35" s="138"/>
      <c r="J35" s="138"/>
    </row>
    <row r="36" spans="1:10" x14ac:dyDescent="0.25">
      <c r="A36" s="138"/>
      <c r="B36" s="138"/>
      <c r="C36" s="140" t="s">
        <v>604</v>
      </c>
      <c r="D36" s="141" t="s">
        <v>595</v>
      </c>
      <c r="E36" s="141" t="s">
        <v>596</v>
      </c>
      <c r="F36" s="158">
        <v>1</v>
      </c>
      <c r="G36" s="158">
        <v>0.54</v>
      </c>
      <c r="H36" s="138"/>
      <c r="I36" s="138"/>
      <c r="J36" s="138"/>
    </row>
    <row r="37" spans="1:10" x14ac:dyDescent="0.25">
      <c r="A37" s="138"/>
      <c r="C37" s="140" t="s">
        <v>604</v>
      </c>
      <c r="D37" s="141" t="s">
        <v>595</v>
      </c>
      <c r="E37" s="138" t="s">
        <v>597</v>
      </c>
      <c r="F37" s="158">
        <v>1</v>
      </c>
      <c r="G37" s="158">
        <v>0.54</v>
      </c>
      <c r="H37" s="138"/>
      <c r="I37" s="138"/>
      <c r="J37" s="138"/>
    </row>
    <row r="38" spans="1:10" x14ac:dyDescent="0.25">
      <c r="C38" s="140" t="s">
        <v>604</v>
      </c>
      <c r="D38" s="63" t="s">
        <v>598</v>
      </c>
      <c r="E38" s="141" t="s">
        <v>596</v>
      </c>
      <c r="F38" s="158">
        <v>1</v>
      </c>
      <c r="G38" s="158">
        <v>0.54</v>
      </c>
    </row>
    <row r="39" spans="1:10" x14ac:dyDescent="0.25">
      <c r="C39" s="140" t="s">
        <v>604</v>
      </c>
      <c r="D39" s="63" t="s">
        <v>598</v>
      </c>
      <c r="E39" s="138" t="s">
        <v>597</v>
      </c>
      <c r="F39" s="158">
        <v>1</v>
      </c>
      <c r="G39" s="158">
        <v>0.54</v>
      </c>
    </row>
    <row r="40" spans="1:10" x14ac:dyDescent="0.25">
      <c r="C40" s="140" t="s">
        <v>604</v>
      </c>
      <c r="D40" s="63" t="s">
        <v>599</v>
      </c>
      <c r="E40" s="141" t="s">
        <v>596</v>
      </c>
      <c r="F40" s="158">
        <v>1</v>
      </c>
      <c r="G40" s="158">
        <v>0.54</v>
      </c>
    </row>
    <row r="41" spans="1:10" x14ac:dyDescent="0.25">
      <c r="C41" s="140" t="s">
        <v>604</v>
      </c>
      <c r="D41" s="63" t="s">
        <v>599</v>
      </c>
      <c r="E41" s="138" t="s">
        <v>597</v>
      </c>
      <c r="F41" s="158">
        <v>1</v>
      </c>
      <c r="G41" s="158">
        <v>0.54</v>
      </c>
    </row>
    <row r="42" spans="1:10" x14ac:dyDescent="0.25">
      <c r="C42" s="140" t="s">
        <v>604</v>
      </c>
      <c r="D42" s="63" t="s">
        <v>600</v>
      </c>
      <c r="E42" s="141" t="s">
        <v>596</v>
      </c>
      <c r="F42" s="158">
        <v>1</v>
      </c>
      <c r="G42" s="158">
        <v>0.54</v>
      </c>
    </row>
    <row r="43" spans="1:10" x14ac:dyDescent="0.25">
      <c r="C43" s="140" t="s">
        <v>604</v>
      </c>
      <c r="D43" s="63" t="s">
        <v>600</v>
      </c>
      <c r="E43" s="138" t="s">
        <v>597</v>
      </c>
      <c r="F43" s="158">
        <v>1</v>
      </c>
      <c r="G43" s="158">
        <v>0.54</v>
      </c>
    </row>
    <row r="44" spans="1:10" x14ac:dyDescent="0.25">
      <c r="C44" s="140" t="s">
        <v>604</v>
      </c>
      <c r="D44" s="63" t="s">
        <v>601</v>
      </c>
      <c r="E44" s="141" t="s">
        <v>596</v>
      </c>
      <c r="F44" s="158">
        <v>1</v>
      </c>
      <c r="G44" s="158">
        <v>0.54</v>
      </c>
    </row>
    <row r="45" spans="1:10" x14ac:dyDescent="0.25">
      <c r="C45" s="140" t="s">
        <v>604</v>
      </c>
      <c r="D45" s="63" t="s">
        <v>601</v>
      </c>
      <c r="E45" s="138" t="s">
        <v>597</v>
      </c>
      <c r="F45" s="158">
        <v>1</v>
      </c>
      <c r="G45" s="158">
        <v>0.54</v>
      </c>
    </row>
    <row r="46" spans="1:10" x14ac:dyDescent="0.25">
      <c r="C46" s="140" t="s">
        <v>604</v>
      </c>
      <c r="D46" s="63" t="s">
        <v>602</v>
      </c>
      <c r="E46" s="141" t="s">
        <v>596</v>
      </c>
      <c r="F46" s="158">
        <v>1</v>
      </c>
      <c r="G46" s="158">
        <v>0.54</v>
      </c>
    </row>
    <row r="47" spans="1:10" x14ac:dyDescent="0.25">
      <c r="C47" s="140" t="s">
        <v>604</v>
      </c>
      <c r="D47" s="63" t="s">
        <v>602</v>
      </c>
      <c r="E47" s="138" t="s">
        <v>597</v>
      </c>
      <c r="F47" s="158">
        <v>1</v>
      </c>
      <c r="G47" s="158">
        <v>0.54</v>
      </c>
    </row>
    <row r="48" spans="1:10" x14ac:dyDescent="0.25">
      <c r="C48" s="140" t="s">
        <v>604</v>
      </c>
      <c r="D48" s="63" t="s">
        <v>603</v>
      </c>
      <c r="E48" s="141" t="s">
        <v>596</v>
      </c>
      <c r="F48" s="158">
        <v>1</v>
      </c>
      <c r="G48" s="158">
        <v>0.54</v>
      </c>
    </row>
    <row r="49" spans="2:7" x14ac:dyDescent="0.25">
      <c r="C49" s="140" t="s">
        <v>604</v>
      </c>
      <c r="D49" s="63" t="s">
        <v>603</v>
      </c>
      <c r="E49" s="138" t="s">
        <v>597</v>
      </c>
      <c r="F49" s="158">
        <v>1</v>
      </c>
      <c r="G49" s="158">
        <v>0.54</v>
      </c>
    </row>
    <row r="50" spans="2:7" x14ac:dyDescent="0.25">
      <c r="B50" s="138" t="s">
        <v>245</v>
      </c>
      <c r="E50" s="141"/>
    </row>
    <row r="51" spans="2:7" x14ac:dyDescent="0.25">
      <c r="E51" s="138"/>
    </row>
    <row r="52" spans="2:7" x14ac:dyDescent="0.25">
      <c r="E52" s="141"/>
    </row>
    <row r="53" spans="2:7" x14ac:dyDescent="0.25">
      <c r="E53" s="138"/>
    </row>
    <row r="54" spans="2:7" x14ac:dyDescent="0.25">
      <c r="E54" s="141"/>
    </row>
    <row r="55" spans="2:7" x14ac:dyDescent="0.25">
      <c r="E55" s="13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C000"/>
  </sheetPr>
  <dimension ref="A1:E31"/>
  <sheetViews>
    <sheetView workbookViewId="0">
      <selection activeCell="B1" sqref="B1"/>
    </sheetView>
  </sheetViews>
  <sheetFormatPr defaultRowHeight="15" x14ac:dyDescent="0.25"/>
  <cols>
    <col min="1" max="2" width="9.140625" style="138"/>
    <col min="3" max="3" width="21" style="138" customWidth="1"/>
    <col min="4" max="4" width="15.140625" style="138" bestFit="1" customWidth="1"/>
    <col min="5" max="5" width="14.140625" style="138" customWidth="1"/>
    <col min="6" max="16384" width="9.140625" style="138"/>
  </cols>
  <sheetData>
    <row r="1" spans="1:5" x14ac:dyDescent="0.25">
      <c r="A1" s="138" t="s">
        <v>250</v>
      </c>
      <c r="B1" s="138" t="s">
        <v>924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357</v>
      </c>
    </row>
    <row r="4" spans="1:5" x14ac:dyDescent="0.25">
      <c r="A4" s="138" t="s">
        <v>250</v>
      </c>
      <c r="C4" s="138" t="s">
        <v>627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358</v>
      </c>
    </row>
    <row r="7" spans="1:5" x14ac:dyDescent="0.25">
      <c r="A7" s="138" t="s">
        <v>250</v>
      </c>
      <c r="C7" s="138" t="s">
        <v>263</v>
      </c>
      <c r="D7" s="138" t="s">
        <v>264</v>
      </c>
      <c r="E7" s="138" t="s">
        <v>265</v>
      </c>
    </row>
    <row r="8" spans="1:5" x14ac:dyDescent="0.25">
      <c r="A8" s="138" t="s">
        <v>250</v>
      </c>
      <c r="B8" s="141"/>
      <c r="C8" s="144">
        <v>41856</v>
      </c>
      <c r="D8" s="145" t="s">
        <v>411</v>
      </c>
      <c r="E8" s="138" t="s">
        <v>628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267</v>
      </c>
    </row>
    <row r="12" spans="1:5" x14ac:dyDescent="0.25">
      <c r="A12" s="138" t="s">
        <v>250</v>
      </c>
      <c r="C12" s="138" t="s">
        <v>629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5" x14ac:dyDescent="0.25">
      <c r="A17" s="138" t="s">
        <v>250</v>
      </c>
      <c r="B17" s="138" t="s">
        <v>273</v>
      </c>
    </row>
    <row r="18" spans="1:5" x14ac:dyDescent="0.25">
      <c r="A18" s="138" t="s">
        <v>250</v>
      </c>
      <c r="C18" s="138" t="str">
        <f>C4&amp;":"&amp;D23&amp;"("&amp;C23&amp;"=u:XXX)"</f>
        <v>DayltgCtrlParms:MinDimPwrFrac(LampType=u:XXX)</v>
      </c>
    </row>
    <row r="19" spans="1:5" x14ac:dyDescent="0.25">
      <c r="A19" s="138" t="s">
        <v>250</v>
      </c>
    </row>
    <row r="20" spans="1:5" x14ac:dyDescent="0.25">
      <c r="A20" s="138" t="s">
        <v>250</v>
      </c>
    </row>
    <row r="21" spans="1:5" x14ac:dyDescent="0.25">
      <c r="A21" s="138" t="s">
        <v>366</v>
      </c>
    </row>
    <row r="22" spans="1:5" x14ac:dyDescent="0.25">
      <c r="B22" s="140" t="s">
        <v>630</v>
      </c>
      <c r="C22" s="140"/>
    </row>
    <row r="23" spans="1:5" x14ac:dyDescent="0.25">
      <c r="C23" s="138" t="s">
        <v>590</v>
      </c>
      <c r="D23" s="138" t="s">
        <v>631</v>
      </c>
      <c r="E23" s="138" t="s">
        <v>632</v>
      </c>
    </row>
    <row r="24" spans="1:5" x14ac:dyDescent="0.25">
      <c r="C24" s="138" t="s">
        <v>600</v>
      </c>
      <c r="D24" s="138">
        <v>0.1</v>
      </c>
      <c r="E24" s="138">
        <v>0.1</v>
      </c>
    </row>
    <row r="25" spans="1:5" x14ac:dyDescent="0.25">
      <c r="C25" s="138" t="s">
        <v>595</v>
      </c>
      <c r="D25" s="138">
        <v>0.2</v>
      </c>
      <c r="E25" s="138">
        <v>0.2</v>
      </c>
    </row>
    <row r="26" spans="1:5" x14ac:dyDescent="0.25">
      <c r="C26" s="138" t="s">
        <v>602</v>
      </c>
      <c r="D26" s="138">
        <v>0.3</v>
      </c>
      <c r="E26" s="138">
        <v>0.2</v>
      </c>
    </row>
    <row r="27" spans="1:5" x14ac:dyDescent="0.25">
      <c r="C27" s="138" t="s">
        <v>601</v>
      </c>
      <c r="D27" s="138">
        <v>0.45</v>
      </c>
      <c r="E27" s="138">
        <v>0.2</v>
      </c>
    </row>
    <row r="28" spans="1:5" x14ac:dyDescent="0.25">
      <c r="C28" s="138" t="s">
        <v>603</v>
      </c>
      <c r="D28" s="138">
        <v>0.4</v>
      </c>
      <c r="E28" s="138">
        <v>0.2</v>
      </c>
    </row>
    <row r="29" spans="1:5" x14ac:dyDescent="0.25">
      <c r="C29" s="138" t="s">
        <v>598</v>
      </c>
      <c r="D29" s="138">
        <v>0.4</v>
      </c>
      <c r="E29" s="138">
        <v>0.2</v>
      </c>
    </row>
    <row r="30" spans="1:5" x14ac:dyDescent="0.25">
      <c r="C30" s="138" t="s">
        <v>599</v>
      </c>
      <c r="D30" s="138">
        <v>0.5</v>
      </c>
      <c r="E30" s="138">
        <v>0.2</v>
      </c>
    </row>
    <row r="31" spans="1:5" x14ac:dyDescent="0.25">
      <c r="B31" s="138" t="s">
        <v>245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8" tint="0.39997558519241921"/>
  </sheetPr>
  <dimension ref="A1:T37"/>
  <sheetViews>
    <sheetView zoomScale="85" zoomScaleNormal="85" workbookViewId="0">
      <selection activeCell="R32" sqref="R32"/>
    </sheetView>
  </sheetViews>
  <sheetFormatPr defaultRowHeight="15" x14ac:dyDescent="0.25"/>
  <cols>
    <col min="1" max="1" width="3.42578125" style="138" customWidth="1"/>
    <col min="2" max="2" width="9.140625" style="138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7" x14ac:dyDescent="0.25">
      <c r="A1" s="138" t="s">
        <v>250</v>
      </c>
      <c r="B1" s="138" t="s">
        <v>924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357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C4" s="138" t="s">
        <v>674</v>
      </c>
      <c r="D4" s="138"/>
      <c r="E4" s="138"/>
      <c r="F4" s="138"/>
      <c r="G4" s="138"/>
    </row>
    <row r="5" spans="1:7" x14ac:dyDescent="0.25">
      <c r="A5" s="138" t="s">
        <v>250</v>
      </c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358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C7" s="138" t="s">
        <v>263</v>
      </c>
      <c r="D7" s="138" t="s">
        <v>264</v>
      </c>
      <c r="E7" s="138" t="s">
        <v>265</v>
      </c>
      <c r="G7" s="138"/>
    </row>
    <row r="8" spans="1:7" x14ac:dyDescent="0.25">
      <c r="A8" s="138" t="s">
        <v>250</v>
      </c>
      <c r="B8" s="141"/>
      <c r="C8" s="144">
        <v>41853</v>
      </c>
      <c r="D8" s="145" t="s">
        <v>411</v>
      </c>
      <c r="E8" s="138" t="s">
        <v>623</v>
      </c>
      <c r="G8" s="138"/>
    </row>
    <row r="9" spans="1:7" x14ac:dyDescent="0.25">
      <c r="A9" s="138" t="s">
        <v>250</v>
      </c>
      <c r="B9" s="141"/>
      <c r="C9" s="144"/>
      <c r="D9" s="145"/>
      <c r="E9" s="145"/>
      <c r="F9" s="138"/>
      <c r="G9" s="138"/>
    </row>
    <row r="10" spans="1:7" x14ac:dyDescent="0.25">
      <c r="A10" s="138" t="s">
        <v>250</v>
      </c>
      <c r="B10" s="141"/>
      <c r="C10" s="144"/>
      <c r="D10" s="145"/>
      <c r="E10" s="145"/>
      <c r="F10" s="138"/>
      <c r="G10" s="138"/>
    </row>
    <row r="11" spans="1:7" x14ac:dyDescent="0.25">
      <c r="A11" s="138" t="s">
        <v>250</v>
      </c>
      <c r="B11" s="141"/>
      <c r="C11" s="144"/>
      <c r="D11" s="138"/>
      <c r="E11" s="138"/>
      <c r="F11" s="138"/>
      <c r="G11" s="138"/>
    </row>
    <row r="12" spans="1:7" x14ac:dyDescent="0.25">
      <c r="A12" s="138" t="s">
        <v>250</v>
      </c>
      <c r="B12" s="138" t="s">
        <v>267</v>
      </c>
      <c r="C12" s="138"/>
      <c r="D12" s="138"/>
      <c r="E12" s="138"/>
      <c r="F12" s="138"/>
      <c r="G12" s="138"/>
    </row>
    <row r="13" spans="1:7" x14ac:dyDescent="0.25">
      <c r="A13" s="138" t="s">
        <v>250</v>
      </c>
      <c r="C13" s="138" t="s">
        <v>609</v>
      </c>
      <c r="D13" s="138"/>
      <c r="E13" s="138"/>
      <c r="F13" s="138"/>
      <c r="G13" s="138"/>
    </row>
    <row r="14" spans="1:7" x14ac:dyDescent="0.25">
      <c r="A14" s="138" t="s">
        <v>250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</row>
    <row r="16" spans="1:7" x14ac:dyDescent="0.25">
      <c r="A16" s="138" t="s">
        <v>250</v>
      </c>
      <c r="C16" s="138"/>
      <c r="D16" s="138"/>
      <c r="E16" s="138"/>
      <c r="F16" s="138"/>
      <c r="G16" s="138"/>
    </row>
    <row r="17" spans="1:20" x14ac:dyDescent="0.25">
      <c r="A17" s="138" t="s">
        <v>250</v>
      </c>
      <c r="C17" s="138"/>
      <c r="D17" s="138"/>
      <c r="E17" s="138"/>
      <c r="F17" s="138"/>
      <c r="G17" s="138"/>
    </row>
    <row r="18" spans="1:20" x14ac:dyDescent="0.25">
      <c r="A18" s="138" t="s">
        <v>250</v>
      </c>
      <c r="B18" s="138" t="s">
        <v>273</v>
      </c>
      <c r="C18" s="138"/>
      <c r="D18" s="138"/>
      <c r="E18" s="138"/>
      <c r="F18" s="138"/>
      <c r="G18" s="138"/>
    </row>
    <row r="19" spans="1:20" x14ac:dyDescent="0.25">
      <c r="A19" s="138" t="s">
        <v>250</v>
      </c>
      <c r="C19" s="138" t="s">
        <v>767</v>
      </c>
      <c r="D19" s="138"/>
      <c r="E19" s="138"/>
      <c r="F19" s="138"/>
      <c r="G19" s="138"/>
    </row>
    <row r="20" spans="1:20" x14ac:dyDescent="0.25">
      <c r="A20" s="138" t="s">
        <v>250</v>
      </c>
      <c r="D20" s="138"/>
      <c r="E20" s="138"/>
      <c r="F20" s="138"/>
      <c r="G20" s="138"/>
    </row>
    <row r="21" spans="1:20" x14ac:dyDescent="0.25">
      <c r="A21" s="138" t="s">
        <v>250</v>
      </c>
      <c r="C21" s="138"/>
      <c r="D21" s="138"/>
      <c r="E21" s="138"/>
      <c r="F21" s="138"/>
      <c r="G21" s="138"/>
    </row>
    <row r="22" spans="1:20" x14ac:dyDescent="0.25">
      <c r="A22" s="138" t="s">
        <v>250</v>
      </c>
      <c r="C22" s="138"/>
      <c r="D22" s="138"/>
      <c r="E22" s="138"/>
      <c r="F22" s="138"/>
      <c r="G22" s="138"/>
    </row>
    <row r="23" spans="1:20" x14ac:dyDescent="0.25">
      <c r="A23" s="138" t="s">
        <v>366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</row>
    <row r="24" spans="1:20" x14ac:dyDescent="0.25">
      <c r="B24" s="140" t="s">
        <v>676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</row>
    <row r="25" spans="1:20" ht="15.75" thickBot="1" x14ac:dyDescent="0.3">
      <c r="B25" s="140"/>
      <c r="C25" s="191" t="s">
        <v>607</v>
      </c>
      <c r="D25" s="192" t="s">
        <v>608</v>
      </c>
      <c r="E25" s="192" t="s">
        <v>235</v>
      </c>
      <c r="F25" s="191" t="s">
        <v>610</v>
      </c>
      <c r="G25" s="204" t="s">
        <v>611</v>
      </c>
      <c r="H25" s="191" t="s">
        <v>612</v>
      </c>
      <c r="I25" s="191" t="s">
        <v>613</v>
      </c>
      <c r="J25" s="193" t="s">
        <v>614</v>
      </c>
      <c r="K25" s="191" t="s">
        <v>615</v>
      </c>
      <c r="L25" s="192" t="s">
        <v>616</v>
      </c>
      <c r="M25" s="191" t="s">
        <v>624</v>
      </c>
      <c r="N25" s="194" t="s">
        <v>625</v>
      </c>
      <c r="O25" s="194" t="s">
        <v>626</v>
      </c>
      <c r="P25" s="191" t="s">
        <v>617</v>
      </c>
      <c r="Q25" s="194" t="s">
        <v>618</v>
      </c>
      <c r="R25" s="194" t="s">
        <v>619</v>
      </c>
      <c r="S25" s="194" t="s">
        <v>250</v>
      </c>
      <c r="T25" s="194" t="s">
        <v>620</v>
      </c>
    </row>
    <row r="26" spans="1:20" ht="15.75" thickTop="1" x14ac:dyDescent="0.25">
      <c r="C26" s="185" t="s">
        <v>525</v>
      </c>
      <c r="D26" s="185" t="s">
        <v>621</v>
      </c>
      <c r="E26" s="185" t="s">
        <v>349</v>
      </c>
      <c r="F26" s="195" t="s">
        <v>349</v>
      </c>
      <c r="G26" s="196">
        <v>1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5" t="s">
        <v>250</v>
      </c>
      <c r="T26" s="189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185" t="s">
        <v>525</v>
      </c>
      <c r="D27" s="185" t="s">
        <v>675</v>
      </c>
      <c r="E27" s="185" t="s">
        <v>523</v>
      </c>
      <c r="F27" s="195" t="s">
        <v>622</v>
      </c>
      <c r="G27" s="196">
        <v>1</v>
      </c>
      <c r="H27" s="197">
        <v>1</v>
      </c>
      <c r="I27" s="197">
        <v>1</v>
      </c>
      <c r="J27" s="197">
        <v>1</v>
      </c>
      <c r="K27" s="197">
        <v>1</v>
      </c>
      <c r="L27" s="197">
        <v>1</v>
      </c>
      <c r="M27" s="197">
        <v>1</v>
      </c>
      <c r="N27" s="197">
        <v>0</v>
      </c>
      <c r="O27" s="197">
        <v>0</v>
      </c>
      <c r="P27" s="197">
        <v>0</v>
      </c>
      <c r="Q27" s="197">
        <v>0</v>
      </c>
      <c r="R27" s="197">
        <v>0</v>
      </c>
      <c r="S27" s="195" t="s">
        <v>250</v>
      </c>
      <c r="T27" s="189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185" t="s">
        <v>525</v>
      </c>
      <c r="D28" s="185" t="s">
        <v>675</v>
      </c>
      <c r="E28" s="195" t="s">
        <v>349</v>
      </c>
      <c r="F28" s="195" t="s">
        <v>622</v>
      </c>
      <c r="G28" s="196">
        <v>1</v>
      </c>
      <c r="H28" s="197">
        <v>1</v>
      </c>
      <c r="I28" s="197">
        <v>1</v>
      </c>
      <c r="J28" s="198">
        <v>0</v>
      </c>
      <c r="K28" s="197">
        <v>1</v>
      </c>
      <c r="L28" s="197">
        <v>1</v>
      </c>
      <c r="M28" s="197">
        <v>1</v>
      </c>
      <c r="N28" s="197">
        <v>0</v>
      </c>
      <c r="O28" s="197">
        <v>0</v>
      </c>
      <c r="P28" s="197">
        <v>0</v>
      </c>
      <c r="Q28" s="197">
        <v>0</v>
      </c>
      <c r="R28" s="197">
        <v>0</v>
      </c>
      <c r="S28" s="195" t="s">
        <v>250</v>
      </c>
      <c r="T28" s="189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185" t="s">
        <v>525</v>
      </c>
      <c r="D29" s="185" t="s">
        <v>675</v>
      </c>
      <c r="E29" s="185" t="s">
        <v>523</v>
      </c>
      <c r="F29" s="195" t="s">
        <v>349</v>
      </c>
      <c r="G29" s="196">
        <v>1</v>
      </c>
      <c r="H29" s="197">
        <v>1</v>
      </c>
      <c r="I29" s="197">
        <v>1</v>
      </c>
      <c r="J29" s="197">
        <v>1</v>
      </c>
      <c r="K29" s="197">
        <v>0</v>
      </c>
      <c r="L29" s="197">
        <v>1</v>
      </c>
      <c r="M29" s="197">
        <v>1</v>
      </c>
      <c r="N29" s="197">
        <v>0</v>
      </c>
      <c r="O29" s="197">
        <v>0</v>
      </c>
      <c r="P29" s="197">
        <v>0</v>
      </c>
      <c r="Q29" s="197">
        <v>0</v>
      </c>
      <c r="R29" s="197">
        <v>0</v>
      </c>
      <c r="S29" s="195" t="s">
        <v>250</v>
      </c>
      <c r="T29" s="189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185" t="s">
        <v>525</v>
      </c>
      <c r="D30" s="185" t="s">
        <v>675</v>
      </c>
      <c r="E30" s="195" t="s">
        <v>349</v>
      </c>
      <c r="F30" s="195" t="s">
        <v>349</v>
      </c>
      <c r="G30" s="196">
        <v>1</v>
      </c>
      <c r="H30" s="197">
        <v>1</v>
      </c>
      <c r="I30" s="197">
        <v>1</v>
      </c>
      <c r="J30" s="198">
        <v>0</v>
      </c>
      <c r="K30" s="197">
        <v>0</v>
      </c>
      <c r="L30" s="197">
        <v>1</v>
      </c>
      <c r="M30" s="197">
        <v>1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5" t="s">
        <v>250</v>
      </c>
      <c r="T30" s="189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185" t="s">
        <v>525</v>
      </c>
      <c r="D31" s="185" t="s">
        <v>766</v>
      </c>
      <c r="E31" s="185" t="s">
        <v>523</v>
      </c>
      <c r="F31" s="195" t="s">
        <v>349</v>
      </c>
      <c r="G31" s="196">
        <v>1</v>
      </c>
      <c r="H31" s="197">
        <v>1</v>
      </c>
      <c r="I31" s="197">
        <v>0</v>
      </c>
      <c r="J31" s="197">
        <v>1</v>
      </c>
      <c r="K31" s="197">
        <v>0</v>
      </c>
      <c r="L31" s="197">
        <v>0</v>
      </c>
      <c r="M31" s="197">
        <v>0</v>
      </c>
      <c r="N31" s="197">
        <v>0</v>
      </c>
      <c r="O31" s="197">
        <v>0</v>
      </c>
      <c r="P31" s="197">
        <v>1</v>
      </c>
      <c r="Q31" s="197">
        <v>1</v>
      </c>
      <c r="R31" s="197">
        <v>1</v>
      </c>
      <c r="S31" s="195" t="s">
        <v>250</v>
      </c>
      <c r="T31" s="189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188" t="s">
        <v>525</v>
      </c>
      <c r="D32" s="188" t="s">
        <v>766</v>
      </c>
      <c r="E32" s="199" t="s">
        <v>349</v>
      </c>
      <c r="F32" s="199" t="s">
        <v>349</v>
      </c>
      <c r="G32" s="200">
        <v>1</v>
      </c>
      <c r="H32" s="201">
        <v>1</v>
      </c>
      <c r="I32" s="201">
        <v>0</v>
      </c>
      <c r="J32" s="202">
        <v>0</v>
      </c>
      <c r="K32" s="201">
        <v>0</v>
      </c>
      <c r="L32" s="201">
        <v>0</v>
      </c>
      <c r="M32" s="201">
        <v>0</v>
      </c>
      <c r="N32" s="201">
        <v>0</v>
      </c>
      <c r="O32" s="201">
        <v>0</v>
      </c>
      <c r="P32" s="201">
        <v>1</v>
      </c>
      <c r="Q32" s="201">
        <v>1</v>
      </c>
      <c r="R32" s="201">
        <v>1</v>
      </c>
      <c r="S32" s="199" t="s">
        <v>250</v>
      </c>
      <c r="T32" s="188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185" t="s">
        <v>238</v>
      </c>
      <c r="D33" s="185" t="s">
        <v>621</v>
      </c>
      <c r="E33" s="185" t="s">
        <v>349</v>
      </c>
      <c r="F33" s="195" t="s">
        <v>349</v>
      </c>
      <c r="G33" s="196">
        <v>0</v>
      </c>
      <c r="H33" s="197">
        <v>0</v>
      </c>
      <c r="I33" s="197">
        <v>0</v>
      </c>
      <c r="J33" s="197">
        <v>0</v>
      </c>
      <c r="K33" s="197">
        <v>0</v>
      </c>
      <c r="L33" s="197">
        <v>0</v>
      </c>
      <c r="M33" s="197">
        <v>0</v>
      </c>
      <c r="N33" s="197">
        <v>1</v>
      </c>
      <c r="O33" s="197">
        <v>1</v>
      </c>
      <c r="P33" s="197">
        <v>0</v>
      </c>
      <c r="Q33" s="197">
        <v>0</v>
      </c>
      <c r="R33" s="197">
        <v>0</v>
      </c>
      <c r="S33" s="195" t="s">
        <v>250</v>
      </c>
      <c r="T33" s="189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s="138" customFormat="1" x14ac:dyDescent="0.25">
      <c r="C34" s="185" t="s">
        <v>238</v>
      </c>
      <c r="D34" s="185" t="s">
        <v>675</v>
      </c>
      <c r="E34" s="195" t="s">
        <v>349</v>
      </c>
      <c r="F34" s="189" t="s">
        <v>622</v>
      </c>
      <c r="G34" s="203">
        <v>1</v>
      </c>
      <c r="H34" s="189">
        <v>1</v>
      </c>
      <c r="I34" s="189">
        <v>1</v>
      </c>
      <c r="J34" s="189">
        <v>0</v>
      </c>
      <c r="K34" s="189">
        <v>1</v>
      </c>
      <c r="L34" s="189">
        <v>0</v>
      </c>
      <c r="M34" s="189">
        <v>1</v>
      </c>
      <c r="N34" s="189">
        <v>1</v>
      </c>
      <c r="O34" s="189">
        <v>1</v>
      </c>
      <c r="P34" s="189">
        <v>0</v>
      </c>
      <c r="Q34" s="189">
        <v>0</v>
      </c>
      <c r="R34" s="189">
        <v>1</v>
      </c>
      <c r="S34" s="195" t="s">
        <v>250</v>
      </c>
      <c r="T34" s="189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s="138" customFormat="1" x14ac:dyDescent="0.25">
      <c r="C35" s="185" t="s">
        <v>238</v>
      </c>
      <c r="D35" s="185" t="s">
        <v>675</v>
      </c>
      <c r="E35" s="195" t="s">
        <v>349</v>
      </c>
      <c r="F35" s="195" t="s">
        <v>349</v>
      </c>
      <c r="G35" s="203">
        <v>1</v>
      </c>
      <c r="H35" s="189">
        <v>1</v>
      </c>
      <c r="I35" s="189">
        <v>1</v>
      </c>
      <c r="J35" s="189">
        <v>0</v>
      </c>
      <c r="K35" s="189">
        <v>0</v>
      </c>
      <c r="L35" s="189">
        <v>0</v>
      </c>
      <c r="M35" s="189">
        <v>1</v>
      </c>
      <c r="N35" s="189">
        <v>1</v>
      </c>
      <c r="O35" s="189">
        <v>1</v>
      </c>
      <c r="P35" s="189">
        <v>0</v>
      </c>
      <c r="Q35" s="189">
        <v>0</v>
      </c>
      <c r="R35" s="189">
        <v>1</v>
      </c>
      <c r="S35" s="195" t="s">
        <v>250</v>
      </c>
      <c r="T35" s="189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185" t="s">
        <v>238</v>
      </c>
      <c r="D36" s="185" t="s">
        <v>766</v>
      </c>
      <c r="E36" s="195" t="s">
        <v>349</v>
      </c>
      <c r="F36" s="189" t="s">
        <v>349</v>
      </c>
      <c r="G36" s="203">
        <v>0</v>
      </c>
      <c r="H36" s="189">
        <v>1</v>
      </c>
      <c r="I36" s="189">
        <v>0</v>
      </c>
      <c r="J36" s="189">
        <v>0</v>
      </c>
      <c r="K36" s="189">
        <v>0</v>
      </c>
      <c r="L36" s="189">
        <v>0</v>
      </c>
      <c r="M36" s="189">
        <v>0</v>
      </c>
      <c r="N36" s="189">
        <v>1</v>
      </c>
      <c r="O36" s="189">
        <v>1</v>
      </c>
      <c r="P36" s="189">
        <v>1</v>
      </c>
      <c r="Q36" s="189">
        <v>1</v>
      </c>
      <c r="R36" s="189">
        <v>1</v>
      </c>
      <c r="S36" s="195" t="s">
        <v>250</v>
      </c>
      <c r="T36" s="189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s="138" t="s">
        <v>245</v>
      </c>
    </row>
  </sheetData>
  <conditionalFormatting sqref="G26:R36">
    <cfRule type="expression" dxfId="3" priority="1">
      <formula>G26=1</formula>
    </cfRule>
  </conditionalFormatting>
  <conditionalFormatting sqref="G26:R36">
    <cfRule type="expression" dxfId="2" priority="5">
      <formula>$L26=1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92D050"/>
  </sheetPr>
  <dimension ref="A1:N30"/>
  <sheetViews>
    <sheetView workbookViewId="0">
      <selection activeCell="G32" sqref="G32"/>
    </sheetView>
  </sheetViews>
  <sheetFormatPr defaultRowHeight="15" x14ac:dyDescent="0.25"/>
  <cols>
    <col min="1" max="1" width="3.42578125" style="138" customWidth="1"/>
    <col min="2" max="2" width="9.140625" style="138" customWidth="1"/>
    <col min="3" max="3" width="25" style="138" customWidth="1"/>
    <col min="4" max="4" width="22.7109375" style="138" bestFit="1" customWidth="1"/>
    <col min="5" max="5" width="12.140625" style="138" bestFit="1" customWidth="1"/>
    <col min="6" max="6" width="6.28515625" style="138" bestFit="1" customWidth="1"/>
    <col min="7" max="7" width="16.28515625" style="138" bestFit="1" customWidth="1"/>
    <col min="8" max="8" width="11.140625" style="138" bestFit="1" customWidth="1"/>
    <col min="9" max="9" width="13.140625" style="138" bestFit="1" customWidth="1"/>
    <col min="10" max="10" width="15.28515625" style="138" bestFit="1" customWidth="1"/>
    <col min="11" max="11" width="19" style="138" bestFit="1" customWidth="1"/>
    <col min="12" max="12" width="16" style="138" bestFit="1" customWidth="1"/>
    <col min="13" max="13" width="1.5703125" style="138" bestFit="1" customWidth="1"/>
    <col min="14" max="14" width="13.140625" style="138" bestFit="1" customWidth="1"/>
    <col min="15" max="16384" width="9.140625" style="138"/>
  </cols>
  <sheetData>
    <row r="1" spans="1:7" x14ac:dyDescent="0.25">
      <c r="A1" s="138" t="s">
        <v>250</v>
      </c>
      <c r="B1" s="138" t="s">
        <v>673</v>
      </c>
    </row>
    <row r="2" spans="1:7" x14ac:dyDescent="0.25">
      <c r="A2" s="138" t="s">
        <v>250</v>
      </c>
    </row>
    <row r="3" spans="1:7" x14ac:dyDescent="0.25">
      <c r="A3" s="138" t="s">
        <v>250</v>
      </c>
      <c r="B3" s="138" t="s">
        <v>357</v>
      </c>
    </row>
    <row r="4" spans="1:7" x14ac:dyDescent="0.25">
      <c r="A4" s="138" t="s">
        <v>250</v>
      </c>
      <c r="C4" s="138" t="s">
        <v>677</v>
      </c>
    </row>
    <row r="5" spans="1:7" x14ac:dyDescent="0.25">
      <c r="A5" s="138" t="s">
        <v>250</v>
      </c>
    </row>
    <row r="6" spans="1:7" x14ac:dyDescent="0.25">
      <c r="A6" s="138" t="s">
        <v>250</v>
      </c>
      <c r="B6" s="138" t="s">
        <v>358</v>
      </c>
    </row>
    <row r="7" spans="1:7" x14ac:dyDescent="0.25">
      <c r="A7" s="138" t="s">
        <v>250</v>
      </c>
      <c r="C7" s="138" t="s">
        <v>263</v>
      </c>
      <c r="D7" s="138" t="s">
        <v>264</v>
      </c>
      <c r="G7" s="138" t="s">
        <v>265</v>
      </c>
    </row>
    <row r="8" spans="1:7" x14ac:dyDescent="0.25">
      <c r="A8" s="138" t="s">
        <v>250</v>
      </c>
      <c r="B8" s="141"/>
      <c r="C8" s="144">
        <v>41904</v>
      </c>
      <c r="D8" s="145" t="s">
        <v>411</v>
      </c>
      <c r="E8" s="145"/>
      <c r="F8" s="145"/>
      <c r="G8" s="138" t="s">
        <v>623</v>
      </c>
    </row>
    <row r="9" spans="1:7" x14ac:dyDescent="0.25">
      <c r="A9" s="138" t="s">
        <v>250</v>
      </c>
      <c r="B9" s="141"/>
      <c r="C9" s="144"/>
      <c r="D9" s="145"/>
      <c r="E9" s="145"/>
      <c r="F9" s="145"/>
    </row>
    <row r="10" spans="1:7" x14ac:dyDescent="0.25">
      <c r="A10" s="138" t="s">
        <v>250</v>
      </c>
      <c r="B10" s="141"/>
      <c r="C10" s="144"/>
      <c r="D10" s="145"/>
      <c r="E10" s="145"/>
      <c r="F10" s="145"/>
    </row>
    <row r="11" spans="1:7" x14ac:dyDescent="0.25">
      <c r="A11" s="138" t="s">
        <v>250</v>
      </c>
      <c r="B11" s="141"/>
      <c r="C11" s="144"/>
    </row>
    <row r="12" spans="1:7" x14ac:dyDescent="0.25">
      <c r="A12" s="138" t="s">
        <v>250</v>
      </c>
      <c r="B12" s="138" t="s">
        <v>267</v>
      </c>
    </row>
    <row r="13" spans="1:7" x14ac:dyDescent="0.25">
      <c r="A13" s="138" t="s">
        <v>250</v>
      </c>
      <c r="C13" s="138" t="s">
        <v>609</v>
      </c>
    </row>
    <row r="14" spans="1:7" x14ac:dyDescent="0.25">
      <c r="A14" s="138" t="s">
        <v>250</v>
      </c>
    </row>
    <row r="15" spans="1:7" x14ac:dyDescent="0.25">
      <c r="A15" s="138" t="s">
        <v>250</v>
      </c>
      <c r="B15" s="138" t="s">
        <v>251</v>
      </c>
    </row>
    <row r="16" spans="1:7" x14ac:dyDescent="0.25">
      <c r="A16" s="138" t="s">
        <v>250</v>
      </c>
    </row>
    <row r="17" spans="1:14" x14ac:dyDescent="0.25">
      <c r="A17" s="138" t="s">
        <v>250</v>
      </c>
    </row>
    <row r="18" spans="1:14" x14ac:dyDescent="0.25">
      <c r="A18" s="138" t="s">
        <v>250</v>
      </c>
      <c r="B18" s="138" t="s">
        <v>273</v>
      </c>
    </row>
    <row r="19" spans="1:14" x14ac:dyDescent="0.25">
      <c r="A19" s="138" t="s">
        <v>250</v>
      </c>
      <c r="C19" s="138" t="s">
        <v>767</v>
      </c>
    </row>
    <row r="20" spans="1:14" x14ac:dyDescent="0.25">
      <c r="A20" s="138" t="s">
        <v>250</v>
      </c>
    </row>
    <row r="21" spans="1:14" x14ac:dyDescent="0.25">
      <c r="A21" s="138" t="s">
        <v>250</v>
      </c>
    </row>
    <row r="22" spans="1:14" x14ac:dyDescent="0.25">
      <c r="A22" s="138" t="s">
        <v>250</v>
      </c>
    </row>
    <row r="23" spans="1:14" x14ac:dyDescent="0.25">
      <c r="A23" s="138" t="s">
        <v>366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</row>
    <row r="24" spans="1:14" x14ac:dyDescent="0.25">
      <c r="B24" s="140" t="s">
        <v>676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</row>
    <row r="25" spans="1:14" ht="15.75" thickBot="1" x14ac:dyDescent="0.3">
      <c r="B25" s="140"/>
      <c r="C25" s="284" t="s">
        <v>607</v>
      </c>
      <c r="D25" s="285" t="s">
        <v>608</v>
      </c>
      <c r="E25" s="285" t="s">
        <v>235</v>
      </c>
      <c r="F25" s="286" t="s">
        <v>610</v>
      </c>
      <c r="G25" s="287" t="s">
        <v>611</v>
      </c>
      <c r="H25" s="286" t="s">
        <v>612</v>
      </c>
      <c r="I25" s="286" t="s">
        <v>613</v>
      </c>
      <c r="J25" s="286" t="s">
        <v>624</v>
      </c>
      <c r="K25" s="288" t="s">
        <v>625</v>
      </c>
      <c r="L25" s="289" t="s">
        <v>626</v>
      </c>
      <c r="M25" s="194" t="s">
        <v>250</v>
      </c>
      <c r="N25" s="194" t="s">
        <v>620</v>
      </c>
    </row>
    <row r="26" spans="1:14" ht="15.75" thickTop="1" x14ac:dyDescent="0.25">
      <c r="C26" s="203" t="s">
        <v>525</v>
      </c>
      <c r="D26" s="185" t="s">
        <v>621</v>
      </c>
      <c r="E26" s="185" t="s">
        <v>349</v>
      </c>
      <c r="F26" s="185" t="s">
        <v>349</v>
      </c>
      <c r="G26" s="196">
        <v>1</v>
      </c>
      <c r="H26" s="215">
        <v>1</v>
      </c>
      <c r="I26" s="215">
        <v>0</v>
      </c>
      <c r="J26" s="215">
        <v>0</v>
      </c>
      <c r="K26" s="215">
        <v>0</v>
      </c>
      <c r="L26" s="227">
        <v>0</v>
      </c>
      <c r="M26" s="195" t="s">
        <v>250</v>
      </c>
      <c r="N26" s="189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283" t="s">
        <v>525</v>
      </c>
      <c r="D27" s="188" t="s">
        <v>675</v>
      </c>
      <c r="E27" s="188" t="s">
        <v>349</v>
      </c>
      <c r="F27" s="188" t="s">
        <v>349</v>
      </c>
      <c r="G27" s="200">
        <v>1</v>
      </c>
      <c r="H27" s="201">
        <v>1</v>
      </c>
      <c r="I27" s="201">
        <v>1</v>
      </c>
      <c r="J27" s="201">
        <v>1</v>
      </c>
      <c r="K27" s="201">
        <v>0</v>
      </c>
      <c r="L27" s="290">
        <v>0</v>
      </c>
      <c r="M27" s="199" t="s">
        <v>250</v>
      </c>
      <c r="N27" s="188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203" t="s">
        <v>238</v>
      </c>
      <c r="D28" s="185" t="s">
        <v>621</v>
      </c>
      <c r="E28" s="185" t="s">
        <v>349</v>
      </c>
      <c r="F28" s="185" t="s">
        <v>349</v>
      </c>
      <c r="G28" s="196">
        <v>0</v>
      </c>
      <c r="H28" s="215">
        <v>0</v>
      </c>
      <c r="I28" s="215">
        <v>1</v>
      </c>
      <c r="J28" s="215">
        <v>0</v>
      </c>
      <c r="K28" s="215">
        <v>1</v>
      </c>
      <c r="L28" s="227">
        <v>1</v>
      </c>
      <c r="M28" s="195" t="s">
        <v>250</v>
      </c>
      <c r="N28" s="189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283" t="s">
        <v>238</v>
      </c>
      <c r="D29" s="188" t="s">
        <v>675</v>
      </c>
      <c r="E29" s="188" t="s">
        <v>349</v>
      </c>
      <c r="F29" s="188" t="s">
        <v>349</v>
      </c>
      <c r="G29" s="283">
        <v>0</v>
      </c>
      <c r="H29" s="188">
        <v>1</v>
      </c>
      <c r="I29" s="188">
        <v>1</v>
      </c>
      <c r="J29" s="188">
        <v>1</v>
      </c>
      <c r="K29" s="188">
        <v>0</v>
      </c>
      <c r="L29" s="291">
        <v>1</v>
      </c>
      <c r="M29" s="195" t="s">
        <v>250</v>
      </c>
      <c r="N29" s="189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s="138" t="s">
        <v>245</v>
      </c>
    </row>
  </sheetData>
  <conditionalFormatting sqref="G26:L29">
    <cfRule type="expression" dxfId="1" priority="1">
      <formula>G26=1</formula>
    </cfRule>
  </conditionalFormatting>
  <conditionalFormatting sqref="G26:L29">
    <cfRule type="expression" dxfId="0" priority="8">
      <formula>#REF!=1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8" tint="0.39997558519241921"/>
  </sheetPr>
  <dimension ref="A1:R99"/>
  <sheetViews>
    <sheetView zoomScaleNormal="100" workbookViewId="0">
      <selection activeCell="B1" sqref="B1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4" width="15.5703125" customWidth="1"/>
    <col min="5" max="5" width="15.5703125" style="138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s="67" t="s">
        <v>250</v>
      </c>
      <c r="B1" s="67" t="s">
        <v>924</v>
      </c>
      <c r="C1" s="67"/>
      <c r="D1" s="67"/>
      <c r="F1" s="67"/>
    </row>
    <row r="2" spans="1:6" s="39" customFormat="1" x14ac:dyDescent="0.25">
      <c r="A2" s="67" t="s">
        <v>250</v>
      </c>
      <c r="B2" s="67"/>
      <c r="C2" s="67"/>
      <c r="D2" s="67"/>
      <c r="E2" s="138"/>
      <c r="F2" s="67"/>
    </row>
    <row r="3" spans="1:6" s="39" customFormat="1" x14ac:dyDescent="0.25">
      <c r="A3" s="67" t="s">
        <v>250</v>
      </c>
      <c r="B3" s="67" t="s">
        <v>357</v>
      </c>
      <c r="C3" s="67"/>
      <c r="D3" s="67"/>
      <c r="E3" s="138"/>
      <c r="F3" s="67"/>
    </row>
    <row r="4" spans="1:6" s="39" customFormat="1" x14ac:dyDescent="0.25">
      <c r="A4" s="67" t="s">
        <v>250</v>
      </c>
      <c r="B4" s="67"/>
      <c r="C4" s="67" t="s">
        <v>234</v>
      </c>
      <c r="D4" s="67"/>
      <c r="E4" s="138"/>
      <c r="F4" s="67"/>
    </row>
    <row r="5" spans="1:6" s="39" customFormat="1" x14ac:dyDescent="0.25">
      <c r="A5" s="67" t="s">
        <v>250</v>
      </c>
      <c r="B5" s="67"/>
      <c r="C5" s="67"/>
      <c r="D5" s="67"/>
      <c r="E5" s="138"/>
      <c r="F5" s="67"/>
    </row>
    <row r="6" spans="1:6" s="39" customFormat="1" x14ac:dyDescent="0.25">
      <c r="A6" s="67" t="s">
        <v>250</v>
      </c>
      <c r="B6" s="67" t="s">
        <v>358</v>
      </c>
      <c r="C6" s="67"/>
      <c r="D6" s="67"/>
      <c r="E6" s="138"/>
      <c r="F6" s="67"/>
    </row>
    <row r="7" spans="1:6" x14ac:dyDescent="0.25">
      <c r="A7" s="67" t="s">
        <v>250</v>
      </c>
      <c r="B7" s="67"/>
      <c r="C7" s="67" t="s">
        <v>263</v>
      </c>
      <c r="D7" s="67" t="s">
        <v>264</v>
      </c>
      <c r="F7" s="67" t="s">
        <v>265</v>
      </c>
    </row>
    <row r="8" spans="1:6" x14ac:dyDescent="0.25">
      <c r="A8" s="67" t="s">
        <v>250</v>
      </c>
      <c r="B8" s="69"/>
      <c r="C8" s="70">
        <v>41186</v>
      </c>
      <c r="D8" s="71" t="s">
        <v>387</v>
      </c>
      <c r="E8" s="145"/>
      <c r="F8" s="67" t="s">
        <v>266</v>
      </c>
    </row>
    <row r="9" spans="1:6" s="39" customFormat="1" x14ac:dyDescent="0.25">
      <c r="A9" s="67" t="s">
        <v>250</v>
      </c>
      <c r="B9" s="69"/>
      <c r="C9" s="70">
        <v>41203</v>
      </c>
      <c r="D9" s="71" t="s">
        <v>387</v>
      </c>
      <c r="E9" s="145"/>
      <c r="F9" s="67" t="s">
        <v>339</v>
      </c>
    </row>
    <row r="10" spans="1:6" x14ac:dyDescent="0.25">
      <c r="A10" s="67" t="s">
        <v>250</v>
      </c>
      <c r="B10" s="69"/>
      <c r="C10" s="70">
        <v>41217</v>
      </c>
      <c r="D10" s="71" t="s">
        <v>411</v>
      </c>
      <c r="E10" s="145"/>
      <c r="F10" s="67" t="s">
        <v>472</v>
      </c>
    </row>
    <row r="11" spans="1:6" x14ac:dyDescent="0.25">
      <c r="A11" s="67" t="s">
        <v>250</v>
      </c>
      <c r="B11" s="69"/>
      <c r="C11" s="70"/>
      <c r="D11" s="67"/>
      <c r="F11" s="67"/>
    </row>
    <row r="12" spans="1:6" x14ac:dyDescent="0.25">
      <c r="A12" s="67" t="s">
        <v>250</v>
      </c>
      <c r="B12" s="67" t="s">
        <v>267</v>
      </c>
      <c r="C12" s="67"/>
      <c r="D12" s="67"/>
      <c r="F12" s="67"/>
    </row>
    <row r="13" spans="1:6" x14ac:dyDescent="0.25">
      <c r="A13" s="67" t="s">
        <v>250</v>
      </c>
      <c r="B13" s="67"/>
      <c r="C13" s="67" t="s">
        <v>256</v>
      </c>
      <c r="D13" s="67"/>
      <c r="F13" s="67"/>
    </row>
    <row r="14" spans="1:6" x14ac:dyDescent="0.25">
      <c r="A14" s="67" t="s">
        <v>250</v>
      </c>
      <c r="B14" s="67"/>
      <c r="C14" s="67"/>
      <c r="D14" s="67"/>
      <c r="F14" s="67"/>
    </row>
    <row r="15" spans="1:6" x14ac:dyDescent="0.25">
      <c r="A15" s="67" t="s">
        <v>250</v>
      </c>
      <c r="B15" s="67" t="s">
        <v>251</v>
      </c>
      <c r="C15" s="67"/>
      <c r="D15" s="67"/>
      <c r="F15" s="67"/>
    </row>
    <row r="16" spans="1:6" x14ac:dyDescent="0.25">
      <c r="A16" s="67" t="s">
        <v>250</v>
      </c>
      <c r="B16" s="67"/>
      <c r="C16" s="67"/>
      <c r="D16" s="67"/>
      <c r="F16" s="67"/>
    </row>
    <row r="17" spans="1:13" x14ac:dyDescent="0.25">
      <c r="A17" s="67" t="s">
        <v>250</v>
      </c>
      <c r="B17" s="67"/>
      <c r="C17" s="67"/>
      <c r="D17" s="67"/>
      <c r="F17" s="67"/>
      <c r="G17" s="67"/>
      <c r="H17" s="67"/>
      <c r="I17" s="67"/>
    </row>
    <row r="18" spans="1:13" s="39" customFormat="1" x14ac:dyDescent="0.25">
      <c r="A18" s="67" t="s">
        <v>250</v>
      </c>
      <c r="B18" s="67" t="s">
        <v>273</v>
      </c>
      <c r="C18" s="67"/>
      <c r="D18" s="67"/>
      <c r="E18" s="138"/>
      <c r="F18" s="67"/>
      <c r="G18" s="67"/>
      <c r="H18" s="67"/>
      <c r="I18" s="67"/>
    </row>
    <row r="19" spans="1:13" x14ac:dyDescent="0.25">
      <c r="A19" s="67" t="s">
        <v>250</v>
      </c>
      <c r="B19" s="67"/>
      <c r="C19" s="75" t="s">
        <v>377</v>
      </c>
      <c r="D19" s="67"/>
      <c r="F19" s="67"/>
      <c r="G19" s="67"/>
      <c r="H19" s="67"/>
      <c r="I19" s="67"/>
    </row>
    <row r="20" spans="1:13" x14ac:dyDescent="0.25">
      <c r="A20" s="67" t="s">
        <v>250</v>
      </c>
      <c r="B20" s="67"/>
      <c r="C20" s="67" t="s">
        <v>239</v>
      </c>
      <c r="D20" s="67"/>
      <c r="F20" s="67"/>
      <c r="G20" s="67"/>
      <c r="H20" s="67"/>
      <c r="I20" s="67"/>
    </row>
    <row r="21" spans="1:13" x14ac:dyDescent="0.25">
      <c r="A21" s="67" t="s">
        <v>250</v>
      </c>
      <c r="B21" s="67"/>
      <c r="C21" s="67" t="s">
        <v>240</v>
      </c>
      <c r="D21" s="67"/>
      <c r="F21" s="67"/>
      <c r="G21" s="67"/>
      <c r="H21" s="67"/>
      <c r="I21" s="67"/>
    </row>
    <row r="22" spans="1:13" x14ac:dyDescent="0.25">
      <c r="A22" s="67" t="s">
        <v>250</v>
      </c>
      <c r="B22" s="67"/>
      <c r="C22" s="67"/>
      <c r="D22" s="67"/>
      <c r="F22" s="67"/>
      <c r="G22" s="67"/>
      <c r="H22" s="67"/>
      <c r="I22" s="67"/>
    </row>
    <row r="23" spans="1:13" x14ac:dyDescent="0.25">
      <c r="A23" s="67" t="s">
        <v>366</v>
      </c>
      <c r="B23" s="67"/>
      <c r="C23" s="67"/>
      <c r="D23" s="67"/>
      <c r="F23" s="67"/>
      <c r="G23" s="67"/>
      <c r="H23" s="67"/>
      <c r="I23" s="67"/>
    </row>
    <row r="24" spans="1:13" x14ac:dyDescent="0.25">
      <c r="A24" s="67"/>
      <c r="B24" s="68" t="s">
        <v>473</v>
      </c>
      <c r="C24" s="68"/>
      <c r="D24" s="67"/>
      <c r="F24" s="67"/>
      <c r="G24" s="67"/>
      <c r="H24" s="67"/>
      <c r="I24" s="67"/>
      <c r="J24" s="17"/>
      <c r="K24" s="17"/>
      <c r="L24" s="17"/>
      <c r="M24" s="17"/>
    </row>
    <row r="25" spans="1:13" x14ac:dyDescent="0.25">
      <c r="A25" s="67"/>
      <c r="B25" s="68"/>
      <c r="C25" s="180" t="s">
        <v>474</v>
      </c>
      <c r="D25" s="181" t="s">
        <v>235</v>
      </c>
      <c r="E25" s="181" t="s">
        <v>253</v>
      </c>
      <c r="F25" s="182" t="s">
        <v>236</v>
      </c>
      <c r="G25" s="183" t="s">
        <v>236</v>
      </c>
      <c r="H25" s="184" t="s">
        <v>236</v>
      </c>
      <c r="I25" s="67"/>
      <c r="J25" s="23"/>
      <c r="K25" s="17"/>
      <c r="L25" s="17"/>
      <c r="M25" s="17"/>
    </row>
    <row r="26" spans="1:13" ht="15.75" thickBot="1" x14ac:dyDescent="0.3">
      <c r="A26" s="67"/>
      <c r="B26" s="67"/>
      <c r="C26" s="167" t="s">
        <v>237</v>
      </c>
      <c r="D26" s="159"/>
      <c r="E26" s="159"/>
      <c r="F26" s="161" t="s">
        <v>257</v>
      </c>
      <c r="G26" s="160" t="s">
        <v>258</v>
      </c>
      <c r="H26" s="168" t="s">
        <v>252</v>
      </c>
      <c r="I26" s="67"/>
      <c r="J26" s="17"/>
      <c r="K26" s="17"/>
      <c r="L26" s="17"/>
      <c r="M26" s="17"/>
    </row>
    <row r="27" spans="1:13" ht="15.75" thickTop="1" x14ac:dyDescent="0.25">
      <c r="A27" s="67"/>
      <c r="B27" s="67"/>
      <c r="C27" s="169" t="s">
        <v>475</v>
      </c>
      <c r="D27" s="52" t="s">
        <v>523</v>
      </c>
      <c r="E27" s="185">
        <v>0</v>
      </c>
      <c r="F27" s="162">
        <v>1.28</v>
      </c>
      <c r="G27" s="170">
        <v>0.79</v>
      </c>
      <c r="H27" s="171">
        <v>0.87</v>
      </c>
      <c r="I27" s="67"/>
      <c r="J27" s="65"/>
      <c r="K27" s="66"/>
      <c r="L27" s="66"/>
      <c r="M27" s="66"/>
    </row>
    <row r="28" spans="1:13" x14ac:dyDescent="0.25">
      <c r="A28" s="67"/>
      <c r="B28" s="67"/>
      <c r="C28" s="169" t="s">
        <v>475</v>
      </c>
      <c r="D28" s="52" t="s">
        <v>522</v>
      </c>
      <c r="E28" s="185">
        <v>0</v>
      </c>
      <c r="F28" s="162">
        <v>1.19</v>
      </c>
      <c r="G28" s="170">
        <v>0.71</v>
      </c>
      <c r="H28" s="171">
        <v>0.72</v>
      </c>
      <c r="I28" s="67"/>
      <c r="J28" s="65"/>
      <c r="K28" s="66"/>
      <c r="L28" s="66"/>
      <c r="M28" s="66"/>
    </row>
    <row r="29" spans="1:13" x14ac:dyDescent="0.25">
      <c r="A29" s="67"/>
      <c r="B29" s="67"/>
      <c r="C29" s="172" t="s">
        <v>475</v>
      </c>
      <c r="D29" s="173" t="s">
        <v>524</v>
      </c>
      <c r="E29" s="186">
        <v>0</v>
      </c>
      <c r="F29" s="163">
        <v>1.19</v>
      </c>
      <c r="G29" s="174">
        <v>0.71</v>
      </c>
      <c r="H29" s="175">
        <v>0.72</v>
      </c>
      <c r="I29" s="76" t="s">
        <v>476</v>
      </c>
      <c r="K29" s="66"/>
      <c r="L29" s="66"/>
      <c r="M29" s="65"/>
    </row>
    <row r="30" spans="1:13" x14ac:dyDescent="0.25">
      <c r="A30" s="67"/>
      <c r="B30" s="67"/>
      <c r="C30" s="169" t="s">
        <v>475</v>
      </c>
      <c r="D30" s="149" t="s">
        <v>349</v>
      </c>
      <c r="E30" s="187">
        <v>1</v>
      </c>
      <c r="F30" s="162">
        <v>2.2599999999999998</v>
      </c>
      <c r="G30" s="170">
        <v>1.4</v>
      </c>
      <c r="H30" s="176" t="s">
        <v>332</v>
      </c>
      <c r="I30" s="67" t="s">
        <v>606</v>
      </c>
      <c r="K30" s="66"/>
      <c r="L30" s="66"/>
      <c r="M30" s="65"/>
    </row>
    <row r="31" spans="1:13" x14ac:dyDescent="0.25">
      <c r="A31" s="67"/>
      <c r="B31" s="67"/>
      <c r="C31" s="169" t="s">
        <v>475</v>
      </c>
      <c r="D31" s="52" t="s">
        <v>242</v>
      </c>
      <c r="E31" s="185">
        <v>0</v>
      </c>
      <c r="F31" s="162">
        <v>1.25</v>
      </c>
      <c r="G31" s="170">
        <v>0.77</v>
      </c>
      <c r="H31" s="176" t="s">
        <v>332</v>
      </c>
      <c r="I31" s="67"/>
      <c r="K31" s="66"/>
      <c r="L31" s="66"/>
      <c r="M31" s="65"/>
    </row>
    <row r="32" spans="1:13" s="39" customFormat="1" x14ac:dyDescent="0.25">
      <c r="A32" s="67"/>
      <c r="B32" s="67"/>
      <c r="C32" s="169" t="s">
        <v>475</v>
      </c>
      <c r="D32" s="52" t="s">
        <v>238</v>
      </c>
      <c r="E32" s="185">
        <v>0</v>
      </c>
      <c r="F32" s="162">
        <v>1.98</v>
      </c>
      <c r="G32" s="170">
        <v>1.3</v>
      </c>
      <c r="H32" s="176" t="s">
        <v>332</v>
      </c>
      <c r="I32" s="67"/>
    </row>
    <row r="33" spans="1:18" s="39" customFormat="1" x14ac:dyDescent="0.25">
      <c r="B33" s="67"/>
      <c r="C33" s="169" t="s">
        <v>545</v>
      </c>
      <c r="D33" s="52" t="s">
        <v>523</v>
      </c>
      <c r="E33" s="185">
        <v>0</v>
      </c>
      <c r="F33" s="164" t="s">
        <v>333</v>
      </c>
      <c r="G33" s="170">
        <v>0.66</v>
      </c>
      <c r="H33" s="176" t="s">
        <v>333</v>
      </c>
      <c r="I33" s="67"/>
    </row>
    <row r="34" spans="1:18" x14ac:dyDescent="0.25">
      <c r="B34" s="67"/>
      <c r="C34" s="169" t="s">
        <v>545</v>
      </c>
      <c r="D34" s="52" t="s">
        <v>522</v>
      </c>
      <c r="E34" s="185">
        <v>0</v>
      </c>
      <c r="F34" s="164" t="s">
        <v>333</v>
      </c>
      <c r="G34" s="170">
        <v>0.55000000000000004</v>
      </c>
      <c r="H34" s="176" t="s">
        <v>333</v>
      </c>
      <c r="I34" s="67"/>
    </row>
    <row r="35" spans="1:18" x14ac:dyDescent="0.25">
      <c r="B35" s="67"/>
      <c r="C35" s="172" t="s">
        <v>545</v>
      </c>
      <c r="D35" s="173" t="s">
        <v>524</v>
      </c>
      <c r="E35" s="186">
        <v>0</v>
      </c>
      <c r="F35" s="164" t="s">
        <v>333</v>
      </c>
      <c r="G35" s="174">
        <v>0.55000000000000004</v>
      </c>
      <c r="H35" s="176" t="s">
        <v>333</v>
      </c>
      <c r="I35" s="76" t="s">
        <v>476</v>
      </c>
    </row>
    <row r="36" spans="1:18" x14ac:dyDescent="0.25">
      <c r="A36" s="7"/>
      <c r="B36" s="67"/>
      <c r="C36" s="169" t="s">
        <v>545</v>
      </c>
      <c r="D36" s="149" t="s">
        <v>349</v>
      </c>
      <c r="E36" s="187">
        <v>1</v>
      </c>
      <c r="F36" s="164" t="s">
        <v>333</v>
      </c>
      <c r="G36" s="170">
        <v>1.1200000000000001</v>
      </c>
      <c r="H36" s="176" t="s">
        <v>333</v>
      </c>
      <c r="I36" s="138" t="s">
        <v>606</v>
      </c>
    </row>
    <row r="37" spans="1:18" x14ac:dyDescent="0.25">
      <c r="A37" s="18"/>
      <c r="B37" s="67"/>
      <c r="C37" s="169" t="s">
        <v>545</v>
      </c>
      <c r="D37" s="52" t="s">
        <v>242</v>
      </c>
      <c r="E37" s="185">
        <v>0</v>
      </c>
      <c r="F37" s="164" t="s">
        <v>333</v>
      </c>
      <c r="G37" s="170">
        <v>0.59</v>
      </c>
      <c r="H37" s="176" t="s">
        <v>333</v>
      </c>
      <c r="I37" s="67"/>
      <c r="N37" s="7"/>
      <c r="O37" s="8"/>
      <c r="R37" s="8"/>
    </row>
    <row r="38" spans="1:18" x14ac:dyDescent="0.25">
      <c r="A38" s="8"/>
      <c r="B38" s="67"/>
      <c r="C38" s="169" t="s">
        <v>545</v>
      </c>
      <c r="D38" s="52" t="s">
        <v>238</v>
      </c>
      <c r="E38" s="185">
        <v>0</v>
      </c>
      <c r="F38" s="164" t="s">
        <v>333</v>
      </c>
      <c r="G38" s="170">
        <v>1.1100000000000001</v>
      </c>
      <c r="H38" s="176" t="s">
        <v>333</v>
      </c>
      <c r="I38" s="67"/>
      <c r="N38" s="18"/>
      <c r="O38" s="8"/>
      <c r="R38" s="8"/>
    </row>
    <row r="39" spans="1:18" x14ac:dyDescent="0.25">
      <c r="A39" s="8"/>
      <c r="B39" s="67"/>
      <c r="C39" s="169" t="s">
        <v>477</v>
      </c>
      <c r="D39" s="52" t="s">
        <v>523</v>
      </c>
      <c r="E39" s="185">
        <v>0</v>
      </c>
      <c r="F39" s="162">
        <v>0.99</v>
      </c>
      <c r="G39" s="170">
        <v>0.57999999999999996</v>
      </c>
      <c r="H39" s="171">
        <v>0.6</v>
      </c>
      <c r="I39" s="67"/>
      <c r="N39" s="8"/>
      <c r="O39" s="8"/>
      <c r="R39" s="8"/>
    </row>
    <row r="40" spans="1:18" x14ac:dyDescent="0.25">
      <c r="A40" s="8"/>
      <c r="B40" s="67"/>
      <c r="C40" s="169" t="s">
        <v>477</v>
      </c>
      <c r="D40" s="52" t="s">
        <v>522</v>
      </c>
      <c r="E40" s="185">
        <v>0</v>
      </c>
      <c r="F40" s="162">
        <v>1.04</v>
      </c>
      <c r="G40" s="170">
        <v>0.55000000000000004</v>
      </c>
      <c r="H40" s="171">
        <v>0.56999999999999995</v>
      </c>
      <c r="I40" s="67"/>
      <c r="N40" s="8"/>
      <c r="O40" s="8"/>
      <c r="R40" s="8"/>
    </row>
    <row r="41" spans="1:18" x14ac:dyDescent="0.25">
      <c r="B41" s="67"/>
      <c r="C41" s="172" t="s">
        <v>477</v>
      </c>
      <c r="D41" s="173" t="s">
        <v>524</v>
      </c>
      <c r="E41" s="186">
        <v>0</v>
      </c>
      <c r="F41" s="163">
        <v>1.04</v>
      </c>
      <c r="G41" s="174">
        <v>0.55000000000000004</v>
      </c>
      <c r="H41" s="175">
        <v>0.56999999999999995</v>
      </c>
      <c r="I41" s="76" t="s">
        <v>476</v>
      </c>
      <c r="N41" s="8"/>
      <c r="O41" s="8"/>
      <c r="R41" s="8"/>
    </row>
    <row r="42" spans="1:18" x14ac:dyDescent="0.25">
      <c r="B42" s="67"/>
      <c r="C42" s="169" t="s">
        <v>477</v>
      </c>
      <c r="D42" s="149" t="s">
        <v>349</v>
      </c>
      <c r="E42" s="187">
        <v>1</v>
      </c>
      <c r="F42" s="162">
        <v>1.94</v>
      </c>
      <c r="G42" s="170">
        <v>1.06</v>
      </c>
      <c r="H42" s="176" t="s">
        <v>332</v>
      </c>
      <c r="I42" s="138" t="s">
        <v>606</v>
      </c>
    </row>
    <row r="43" spans="1:18" x14ac:dyDescent="0.25">
      <c r="B43" s="67"/>
      <c r="C43" s="169" t="s">
        <v>477</v>
      </c>
      <c r="D43" s="52" t="s">
        <v>242</v>
      </c>
      <c r="E43" s="185">
        <v>0</v>
      </c>
      <c r="F43" s="162">
        <v>0.99</v>
      </c>
      <c r="G43" s="170">
        <v>0.53</v>
      </c>
      <c r="H43" s="176" t="s">
        <v>332</v>
      </c>
      <c r="Q43" s="67"/>
    </row>
    <row r="44" spans="1:18" x14ac:dyDescent="0.25">
      <c r="B44" s="67"/>
      <c r="C44" s="165" t="s">
        <v>477</v>
      </c>
      <c r="D44" s="166" t="s">
        <v>238</v>
      </c>
      <c r="E44" s="188">
        <v>0</v>
      </c>
      <c r="F44" s="177">
        <v>1.47</v>
      </c>
      <c r="G44" s="178">
        <v>0.84</v>
      </c>
      <c r="H44" s="179" t="s">
        <v>332</v>
      </c>
      <c r="Q44" s="67"/>
    </row>
    <row r="45" spans="1:18" x14ac:dyDescent="0.25">
      <c r="B45" s="67"/>
      <c r="C45" s="73" t="s">
        <v>332</v>
      </c>
      <c r="D45" s="72" t="s">
        <v>334</v>
      </c>
      <c r="E45" s="116"/>
      <c r="F45" s="67"/>
      <c r="G45" s="74"/>
      <c r="H45" s="67"/>
      <c r="I45" s="67"/>
    </row>
    <row r="46" spans="1:18" x14ac:dyDescent="0.25">
      <c r="B46" s="67"/>
      <c r="C46" s="73" t="s">
        <v>333</v>
      </c>
      <c r="D46" s="72" t="s">
        <v>335</v>
      </c>
      <c r="E46" s="116"/>
      <c r="F46" s="67"/>
      <c r="G46" s="74"/>
      <c r="H46" s="67"/>
      <c r="I46" s="67"/>
    </row>
    <row r="47" spans="1:18" x14ac:dyDescent="0.25">
      <c r="B47" s="67" t="s">
        <v>245</v>
      </c>
      <c r="C47" s="67"/>
      <c r="D47" s="67"/>
      <c r="F47" s="67"/>
      <c r="G47" s="67"/>
      <c r="H47" s="67"/>
      <c r="I47" s="67"/>
    </row>
    <row r="77" spans="2:9" x14ac:dyDescent="0.25">
      <c r="B77" s="2"/>
    </row>
    <row r="79" spans="2:9" x14ac:dyDescent="0.25">
      <c r="D79" s="1"/>
      <c r="E79" s="139"/>
      <c r="F79" s="1"/>
      <c r="G79" s="1"/>
      <c r="H79" s="1"/>
      <c r="I79" s="1"/>
    </row>
    <row r="98" spans="3:3" x14ac:dyDescent="0.25">
      <c r="C98" s="20"/>
    </row>
    <row r="99" spans="3:3" x14ac:dyDescent="0.25">
      <c r="C99" s="20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8" tint="0.39997558519241921"/>
  </sheetPr>
  <dimension ref="A1:L51"/>
  <sheetViews>
    <sheetView workbookViewId="0">
      <selection activeCell="B1" sqref="B1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  <col min="9" max="9" width="9.140625" style="138"/>
  </cols>
  <sheetData>
    <row r="1" spans="1:5" x14ac:dyDescent="0.25">
      <c r="A1" s="77" t="s">
        <v>250</v>
      </c>
      <c r="B1" s="77" t="s">
        <v>924</v>
      </c>
      <c r="C1" s="77"/>
      <c r="D1" s="77"/>
      <c r="E1" s="77"/>
    </row>
    <row r="2" spans="1:5" x14ac:dyDescent="0.25">
      <c r="A2" s="77" t="s">
        <v>250</v>
      </c>
      <c r="B2" s="77"/>
      <c r="C2" s="77"/>
      <c r="D2" s="77"/>
      <c r="E2" s="77"/>
    </row>
    <row r="3" spans="1:5" x14ac:dyDescent="0.25">
      <c r="A3" s="77" t="s">
        <v>250</v>
      </c>
      <c r="B3" s="77" t="s">
        <v>357</v>
      </c>
      <c r="C3" s="77"/>
      <c r="D3" s="77"/>
      <c r="E3" s="77"/>
    </row>
    <row r="4" spans="1:5" x14ac:dyDescent="0.25">
      <c r="A4" s="77" t="s">
        <v>250</v>
      </c>
      <c r="B4" s="77"/>
      <c r="C4" s="77" t="s">
        <v>478</v>
      </c>
      <c r="D4" s="77"/>
      <c r="E4" s="77"/>
    </row>
    <row r="5" spans="1:5" x14ac:dyDescent="0.25">
      <c r="A5" s="77" t="s">
        <v>250</v>
      </c>
      <c r="B5" s="77"/>
      <c r="C5" s="77"/>
      <c r="D5" s="77"/>
      <c r="E5" s="77"/>
    </row>
    <row r="6" spans="1:5" x14ac:dyDescent="0.25">
      <c r="A6" s="77" t="s">
        <v>250</v>
      </c>
      <c r="B6" s="77" t="s">
        <v>358</v>
      </c>
      <c r="C6" s="77"/>
      <c r="D6" s="77"/>
      <c r="E6" s="77"/>
    </row>
    <row r="7" spans="1:5" x14ac:dyDescent="0.25">
      <c r="A7" s="77" t="s">
        <v>250</v>
      </c>
      <c r="B7" s="77"/>
      <c r="C7" s="77" t="s">
        <v>263</v>
      </c>
      <c r="D7" s="77" t="s">
        <v>264</v>
      </c>
      <c r="E7" s="77" t="s">
        <v>265</v>
      </c>
    </row>
    <row r="8" spans="1:5" x14ac:dyDescent="0.25">
      <c r="A8" s="77" t="s">
        <v>250</v>
      </c>
      <c r="B8" s="79"/>
      <c r="C8" s="81">
        <v>41217</v>
      </c>
      <c r="D8" s="83" t="s">
        <v>411</v>
      </c>
      <c r="E8" s="77" t="s">
        <v>479</v>
      </c>
    </row>
    <row r="9" spans="1:5" x14ac:dyDescent="0.25">
      <c r="A9" s="77" t="s">
        <v>250</v>
      </c>
      <c r="B9" s="79"/>
      <c r="C9" s="81"/>
      <c r="D9" s="77"/>
      <c r="E9" s="77"/>
    </row>
    <row r="10" spans="1:5" x14ac:dyDescent="0.25">
      <c r="A10" s="77" t="s">
        <v>250</v>
      </c>
      <c r="B10" s="77" t="s">
        <v>267</v>
      </c>
      <c r="C10" s="77"/>
      <c r="D10" s="77"/>
      <c r="E10" s="77"/>
    </row>
    <row r="11" spans="1:5" x14ac:dyDescent="0.25">
      <c r="A11" s="77" t="s">
        <v>250</v>
      </c>
      <c r="B11" s="77"/>
      <c r="C11" s="77" t="s">
        <v>480</v>
      </c>
      <c r="D11" s="77"/>
      <c r="E11" s="77"/>
    </row>
    <row r="12" spans="1:5" x14ac:dyDescent="0.25">
      <c r="A12" s="77" t="s">
        <v>250</v>
      </c>
      <c r="B12" s="77"/>
      <c r="C12" s="77"/>
      <c r="D12" s="77"/>
      <c r="E12" s="77"/>
    </row>
    <row r="13" spans="1:5" x14ac:dyDescent="0.25">
      <c r="A13" s="77" t="s">
        <v>250</v>
      </c>
      <c r="B13" s="77" t="s">
        <v>251</v>
      </c>
      <c r="C13" s="77"/>
      <c r="D13" s="77"/>
      <c r="E13" s="77"/>
    </row>
    <row r="14" spans="1:5" x14ac:dyDescent="0.25">
      <c r="A14" s="77" t="s">
        <v>250</v>
      </c>
      <c r="B14" s="77"/>
      <c r="C14" s="77"/>
      <c r="D14" s="77"/>
      <c r="E14" s="77"/>
    </row>
    <row r="15" spans="1:5" x14ac:dyDescent="0.25">
      <c r="A15" s="77" t="s">
        <v>250</v>
      </c>
      <c r="B15" s="77"/>
      <c r="C15" s="77"/>
      <c r="D15" s="77"/>
      <c r="E15" s="77"/>
    </row>
    <row r="16" spans="1:5" x14ac:dyDescent="0.25">
      <c r="A16" s="77" t="s">
        <v>250</v>
      </c>
      <c r="B16" s="77" t="s">
        <v>273</v>
      </c>
      <c r="C16" s="77"/>
      <c r="D16" s="77"/>
      <c r="E16" s="77"/>
    </row>
    <row r="17" spans="1:10" x14ac:dyDescent="0.25">
      <c r="A17" s="77" t="s">
        <v>250</v>
      </c>
      <c r="B17" s="77"/>
      <c r="C17" s="87" t="s">
        <v>377</v>
      </c>
      <c r="D17" s="77"/>
      <c r="E17" s="77"/>
      <c r="F17" s="77"/>
      <c r="G17" s="77"/>
      <c r="H17" s="77"/>
      <c r="J17" s="77"/>
    </row>
    <row r="18" spans="1:10" x14ac:dyDescent="0.25">
      <c r="A18" s="77" t="s">
        <v>250</v>
      </c>
      <c r="B18" s="77"/>
      <c r="C18" s="77"/>
      <c r="D18" s="77"/>
      <c r="E18" s="77"/>
      <c r="F18" s="77"/>
      <c r="G18" s="77"/>
      <c r="H18" s="77"/>
      <c r="J18" s="77"/>
    </row>
    <row r="19" spans="1:10" x14ac:dyDescent="0.25">
      <c r="A19" s="77" t="s">
        <v>250</v>
      </c>
      <c r="B19" s="77"/>
      <c r="C19" s="77"/>
      <c r="D19" s="77"/>
      <c r="E19" s="77"/>
      <c r="F19" s="77"/>
      <c r="G19" s="77"/>
      <c r="H19" s="77"/>
      <c r="J19" s="77"/>
    </row>
    <row r="20" spans="1:10" x14ac:dyDescent="0.25">
      <c r="A20" s="77" t="s">
        <v>250</v>
      </c>
      <c r="B20" s="77"/>
      <c r="C20" s="77"/>
      <c r="D20" s="77"/>
      <c r="E20" s="77"/>
      <c r="F20" s="77"/>
      <c r="G20" s="77"/>
      <c r="H20" s="77"/>
      <c r="J20" s="77"/>
    </row>
    <row r="21" spans="1:10" x14ac:dyDescent="0.25">
      <c r="A21" s="77" t="s">
        <v>366</v>
      </c>
      <c r="B21" s="77"/>
      <c r="C21" s="77"/>
      <c r="D21" s="77"/>
      <c r="E21" s="77"/>
      <c r="F21" s="77"/>
      <c r="G21" s="77"/>
      <c r="H21" s="77"/>
      <c r="J21" s="77"/>
    </row>
    <row r="22" spans="1:10" x14ac:dyDescent="0.25">
      <c r="A22" s="77"/>
      <c r="B22" s="78" t="s">
        <v>481</v>
      </c>
      <c r="C22" s="78"/>
      <c r="D22" s="77"/>
      <c r="E22" s="77"/>
      <c r="F22" s="77"/>
      <c r="G22" s="77"/>
      <c r="H22" s="77"/>
      <c r="J22" s="77"/>
    </row>
    <row r="23" spans="1:10" x14ac:dyDescent="0.25">
      <c r="A23" s="77"/>
      <c r="B23" s="78"/>
      <c r="C23" s="77" t="s">
        <v>474</v>
      </c>
      <c r="D23" s="78" t="s">
        <v>235</v>
      </c>
      <c r="E23" s="77" t="s">
        <v>482</v>
      </c>
      <c r="F23" s="79" t="s">
        <v>209</v>
      </c>
      <c r="G23" s="79" t="s">
        <v>209</v>
      </c>
      <c r="H23" s="79" t="s">
        <v>209</v>
      </c>
      <c r="I23" s="141" t="s">
        <v>209</v>
      </c>
      <c r="J23" s="77"/>
    </row>
    <row r="24" spans="1:10" x14ac:dyDescent="0.25">
      <c r="A24" s="77"/>
      <c r="B24" s="77"/>
      <c r="C24" s="77" t="s">
        <v>237</v>
      </c>
      <c r="D24" s="77"/>
      <c r="E24" s="77"/>
      <c r="F24" s="79" t="s">
        <v>257</v>
      </c>
      <c r="G24" s="79" t="s">
        <v>258</v>
      </c>
      <c r="H24" s="79" t="s">
        <v>252</v>
      </c>
      <c r="I24" s="141" t="s">
        <v>796</v>
      </c>
      <c r="J24" s="141"/>
    </row>
    <row r="25" spans="1:10" x14ac:dyDescent="0.25">
      <c r="A25" s="77"/>
      <c r="B25" s="77"/>
      <c r="C25" s="77" t="s">
        <v>475</v>
      </c>
      <c r="D25" s="77" t="s">
        <v>523</v>
      </c>
      <c r="E25" s="77" t="s">
        <v>483</v>
      </c>
      <c r="F25" s="80">
        <v>0.8</v>
      </c>
      <c r="G25" s="80">
        <v>0.7</v>
      </c>
      <c r="H25" s="80">
        <v>0.7</v>
      </c>
      <c r="I25" s="80">
        <v>0.7</v>
      </c>
      <c r="J25" s="77"/>
    </row>
    <row r="26" spans="1:10" x14ac:dyDescent="0.25">
      <c r="A26" s="77"/>
      <c r="B26" s="77"/>
      <c r="C26" s="77" t="s">
        <v>475</v>
      </c>
      <c r="D26" s="77" t="s">
        <v>522</v>
      </c>
      <c r="E26" s="77" t="s">
        <v>483</v>
      </c>
      <c r="F26" s="80">
        <v>0.83</v>
      </c>
      <c r="G26" s="80">
        <v>0.73</v>
      </c>
      <c r="H26" s="80">
        <v>0.73</v>
      </c>
      <c r="I26" s="80">
        <v>0.73</v>
      </c>
      <c r="J26" s="77"/>
    </row>
    <row r="27" spans="1:10" x14ac:dyDescent="0.25">
      <c r="A27" s="77"/>
      <c r="B27" s="77"/>
      <c r="C27" s="88" t="s">
        <v>475</v>
      </c>
      <c r="D27" s="88" t="s">
        <v>242</v>
      </c>
      <c r="E27" s="88" t="s">
        <v>483</v>
      </c>
      <c r="F27" s="89">
        <v>0.8</v>
      </c>
      <c r="G27" s="89">
        <v>0.7</v>
      </c>
      <c r="H27" s="89">
        <v>0.7</v>
      </c>
      <c r="I27" s="89">
        <v>0.7</v>
      </c>
      <c r="J27" s="88" t="s">
        <v>476</v>
      </c>
    </row>
    <row r="28" spans="1:10" x14ac:dyDescent="0.25">
      <c r="A28" s="77"/>
      <c r="B28" s="77"/>
      <c r="C28" s="88" t="s">
        <v>475</v>
      </c>
      <c r="D28" s="88" t="s">
        <v>524</v>
      </c>
      <c r="E28" s="88" t="s">
        <v>483</v>
      </c>
      <c r="F28" s="89">
        <v>0.83</v>
      </c>
      <c r="G28" s="89">
        <v>0.73</v>
      </c>
      <c r="H28" s="89">
        <v>0.73</v>
      </c>
      <c r="I28" s="89">
        <v>0.73</v>
      </c>
      <c r="J28" s="88" t="s">
        <v>476</v>
      </c>
    </row>
    <row r="29" spans="1:10" x14ac:dyDescent="0.25">
      <c r="A29" s="77"/>
      <c r="B29" s="77"/>
      <c r="C29" s="77" t="s">
        <v>475</v>
      </c>
      <c r="D29" s="138" t="s">
        <v>523</v>
      </c>
      <c r="E29" s="77" t="s">
        <v>484</v>
      </c>
      <c r="F29" s="80">
        <v>0.67</v>
      </c>
      <c r="G29" s="80">
        <v>0.59</v>
      </c>
      <c r="H29" s="82" t="s">
        <v>332</v>
      </c>
      <c r="I29" s="82" t="s">
        <v>332</v>
      </c>
      <c r="J29" s="77"/>
    </row>
    <row r="30" spans="1:10" x14ac:dyDescent="0.25">
      <c r="A30" s="77"/>
      <c r="B30" s="77"/>
      <c r="C30" s="77" t="s">
        <v>475</v>
      </c>
      <c r="D30" s="138" t="s">
        <v>522</v>
      </c>
      <c r="E30" s="77" t="s">
        <v>484</v>
      </c>
      <c r="F30" s="80">
        <v>0.68</v>
      </c>
      <c r="G30" s="80">
        <v>0.6</v>
      </c>
      <c r="H30" s="82" t="s">
        <v>332</v>
      </c>
      <c r="I30" s="82" t="s">
        <v>332</v>
      </c>
      <c r="J30" s="77"/>
    </row>
    <row r="31" spans="1:10" x14ac:dyDescent="0.25">
      <c r="A31" s="77"/>
      <c r="B31" s="77"/>
      <c r="C31" s="88" t="s">
        <v>475</v>
      </c>
      <c r="D31" s="88" t="s">
        <v>242</v>
      </c>
      <c r="E31" s="88" t="s">
        <v>484</v>
      </c>
      <c r="F31" s="89">
        <v>0.67</v>
      </c>
      <c r="G31" s="89">
        <v>0.59</v>
      </c>
      <c r="H31" s="82" t="s">
        <v>332</v>
      </c>
      <c r="I31" s="82" t="s">
        <v>332</v>
      </c>
      <c r="J31" s="88" t="s">
        <v>476</v>
      </c>
    </row>
    <row r="32" spans="1:10" x14ac:dyDescent="0.25">
      <c r="A32" s="77"/>
      <c r="B32" s="77"/>
      <c r="C32" s="88" t="s">
        <v>475</v>
      </c>
      <c r="D32" s="88" t="s">
        <v>524</v>
      </c>
      <c r="E32" s="88" t="s">
        <v>484</v>
      </c>
      <c r="F32" s="89">
        <v>0.68</v>
      </c>
      <c r="G32" s="89">
        <v>0.6</v>
      </c>
      <c r="H32" s="82" t="s">
        <v>332</v>
      </c>
      <c r="I32" s="82" t="s">
        <v>332</v>
      </c>
      <c r="J32" s="88" t="s">
        <v>476</v>
      </c>
    </row>
    <row r="33" spans="1:12" x14ac:dyDescent="0.25">
      <c r="A33" s="77"/>
      <c r="B33" s="77"/>
      <c r="C33" s="138" t="s">
        <v>545</v>
      </c>
      <c r="D33" s="138" t="s">
        <v>523</v>
      </c>
      <c r="E33" s="77" t="s">
        <v>483</v>
      </c>
      <c r="F33" s="82" t="s">
        <v>333</v>
      </c>
      <c r="G33" s="80">
        <v>0.63</v>
      </c>
      <c r="H33" s="82" t="s">
        <v>333</v>
      </c>
      <c r="I33" s="82" t="s">
        <v>333</v>
      </c>
      <c r="J33" s="77"/>
      <c r="K33" s="77"/>
      <c r="L33" s="77"/>
    </row>
    <row r="34" spans="1:12" x14ac:dyDescent="0.25">
      <c r="A34" s="77"/>
      <c r="B34" s="77"/>
      <c r="C34" s="77" t="s">
        <v>545</v>
      </c>
      <c r="D34" s="138" t="s">
        <v>522</v>
      </c>
      <c r="E34" s="77" t="s">
        <v>483</v>
      </c>
      <c r="F34" s="82" t="s">
        <v>333</v>
      </c>
      <c r="G34" s="80">
        <v>0.69</v>
      </c>
      <c r="H34" s="82" t="s">
        <v>333</v>
      </c>
      <c r="I34" s="82" t="s">
        <v>333</v>
      </c>
      <c r="J34" s="77"/>
      <c r="K34" s="77"/>
      <c r="L34" s="77"/>
    </row>
    <row r="35" spans="1:12" x14ac:dyDescent="0.25">
      <c r="A35" s="77"/>
      <c r="B35" s="77"/>
      <c r="C35" s="88" t="s">
        <v>545</v>
      </c>
      <c r="D35" s="88" t="s">
        <v>242</v>
      </c>
      <c r="E35" s="88" t="s">
        <v>483</v>
      </c>
      <c r="F35" s="82" t="s">
        <v>333</v>
      </c>
      <c r="G35" s="89">
        <v>0.63</v>
      </c>
      <c r="H35" s="82" t="s">
        <v>333</v>
      </c>
      <c r="I35" s="82" t="s">
        <v>333</v>
      </c>
      <c r="J35" s="88" t="s">
        <v>476</v>
      </c>
      <c r="K35" s="77"/>
      <c r="L35" s="77"/>
    </row>
    <row r="36" spans="1:12" x14ac:dyDescent="0.25">
      <c r="A36" s="77"/>
      <c r="B36" s="77"/>
      <c r="C36" s="88" t="s">
        <v>545</v>
      </c>
      <c r="D36" s="88" t="s">
        <v>524</v>
      </c>
      <c r="E36" s="88" t="s">
        <v>483</v>
      </c>
      <c r="F36" s="82" t="s">
        <v>333</v>
      </c>
      <c r="G36" s="89">
        <v>0.69</v>
      </c>
      <c r="H36" s="82" t="s">
        <v>333</v>
      </c>
      <c r="I36" s="82" t="s">
        <v>333</v>
      </c>
      <c r="J36" s="88" t="s">
        <v>476</v>
      </c>
      <c r="K36" s="77"/>
      <c r="L36" s="77"/>
    </row>
    <row r="37" spans="1:12" x14ac:dyDescent="0.25">
      <c r="A37" s="77"/>
      <c r="B37" s="77"/>
      <c r="C37" s="77" t="s">
        <v>545</v>
      </c>
      <c r="D37" s="138" t="s">
        <v>523</v>
      </c>
      <c r="E37" s="77" t="s">
        <v>484</v>
      </c>
      <c r="F37" s="82" t="s">
        <v>333</v>
      </c>
      <c r="G37" s="80">
        <v>0.53</v>
      </c>
      <c r="H37" s="82" t="s">
        <v>333</v>
      </c>
      <c r="I37" s="82" t="s">
        <v>333</v>
      </c>
      <c r="J37" s="77"/>
      <c r="K37" s="77"/>
      <c r="L37" s="77"/>
    </row>
    <row r="38" spans="1:12" x14ac:dyDescent="0.25">
      <c r="A38" s="77"/>
      <c r="B38" s="77"/>
      <c r="C38" s="77" t="s">
        <v>545</v>
      </c>
      <c r="D38" s="138" t="s">
        <v>522</v>
      </c>
      <c r="E38" s="77" t="s">
        <v>484</v>
      </c>
      <c r="F38" s="82" t="s">
        <v>333</v>
      </c>
      <c r="G38" s="80">
        <v>0.56999999999999995</v>
      </c>
      <c r="H38" s="82" t="s">
        <v>333</v>
      </c>
      <c r="I38" s="82" t="s">
        <v>333</v>
      </c>
      <c r="J38" s="77"/>
      <c r="K38" s="77"/>
      <c r="L38" s="77"/>
    </row>
    <row r="39" spans="1:12" x14ac:dyDescent="0.25">
      <c r="A39" s="77"/>
      <c r="B39" s="77"/>
      <c r="C39" s="88" t="s">
        <v>545</v>
      </c>
      <c r="D39" s="88" t="s">
        <v>242</v>
      </c>
      <c r="E39" s="88" t="s">
        <v>484</v>
      </c>
      <c r="F39" s="82" t="s">
        <v>333</v>
      </c>
      <c r="G39" s="89">
        <v>0.53</v>
      </c>
      <c r="H39" s="82" t="s">
        <v>333</v>
      </c>
      <c r="I39" s="82" t="s">
        <v>333</v>
      </c>
      <c r="J39" s="88" t="s">
        <v>476</v>
      </c>
      <c r="K39" s="77"/>
      <c r="L39" s="77"/>
    </row>
    <row r="40" spans="1:12" x14ac:dyDescent="0.25">
      <c r="A40" s="77"/>
      <c r="B40" s="77"/>
      <c r="C40" s="88" t="s">
        <v>545</v>
      </c>
      <c r="D40" s="88" t="s">
        <v>524</v>
      </c>
      <c r="E40" s="88" t="s">
        <v>484</v>
      </c>
      <c r="F40" s="82" t="s">
        <v>333</v>
      </c>
      <c r="G40" s="89">
        <v>0.56999999999999995</v>
      </c>
      <c r="H40" s="82" t="s">
        <v>333</v>
      </c>
      <c r="I40" s="82" t="s">
        <v>333</v>
      </c>
      <c r="J40" s="88" t="s">
        <v>476</v>
      </c>
      <c r="K40" s="77"/>
      <c r="L40" s="77"/>
    </row>
    <row r="41" spans="1:12" x14ac:dyDescent="0.25">
      <c r="A41" s="77"/>
      <c r="B41" s="77"/>
      <c r="C41" s="77" t="s">
        <v>477</v>
      </c>
      <c r="D41" s="138" t="s">
        <v>523</v>
      </c>
      <c r="E41" s="77" t="s">
        <v>483</v>
      </c>
      <c r="F41" s="80">
        <v>0.74</v>
      </c>
      <c r="G41" s="80">
        <v>0.65</v>
      </c>
      <c r="H41" s="80">
        <v>0.7</v>
      </c>
      <c r="I41" s="80">
        <v>0.7</v>
      </c>
      <c r="J41" s="77"/>
      <c r="K41" s="77"/>
      <c r="L41" s="77"/>
    </row>
    <row r="42" spans="1:12" x14ac:dyDescent="0.25">
      <c r="A42" s="77"/>
      <c r="B42" s="77"/>
      <c r="C42" s="77" t="s">
        <v>477</v>
      </c>
      <c r="D42" s="138" t="s">
        <v>522</v>
      </c>
      <c r="E42" s="77" t="s">
        <v>483</v>
      </c>
      <c r="F42" s="80">
        <v>0.76</v>
      </c>
      <c r="G42" s="80">
        <v>0.67</v>
      </c>
      <c r="H42" s="80">
        <v>0.67</v>
      </c>
      <c r="I42" s="80">
        <v>0.67</v>
      </c>
      <c r="J42" s="77"/>
      <c r="K42" s="77"/>
      <c r="L42" s="77"/>
    </row>
    <row r="43" spans="1:12" x14ac:dyDescent="0.25">
      <c r="A43" s="77"/>
      <c r="B43" s="77"/>
      <c r="C43" s="88" t="s">
        <v>477</v>
      </c>
      <c r="D43" s="88" t="s">
        <v>242</v>
      </c>
      <c r="E43" s="88" t="s">
        <v>483</v>
      </c>
      <c r="F43" s="89">
        <v>0.74</v>
      </c>
      <c r="G43" s="89">
        <v>0.65</v>
      </c>
      <c r="H43" s="89">
        <v>0.7</v>
      </c>
      <c r="I43" s="89">
        <v>0.7</v>
      </c>
      <c r="J43" s="88" t="s">
        <v>476</v>
      </c>
      <c r="K43" s="77"/>
      <c r="L43" s="77"/>
    </row>
    <row r="44" spans="1:12" x14ac:dyDescent="0.25">
      <c r="A44" s="77"/>
      <c r="B44" s="77"/>
      <c r="C44" s="88" t="s">
        <v>477</v>
      </c>
      <c r="D44" s="88" t="s">
        <v>524</v>
      </c>
      <c r="E44" s="88" t="s">
        <v>483</v>
      </c>
      <c r="F44" s="89">
        <v>0.76</v>
      </c>
      <c r="G44" s="89">
        <v>0.67</v>
      </c>
      <c r="H44" s="89">
        <v>0.67</v>
      </c>
      <c r="I44" s="89">
        <v>0.67</v>
      </c>
      <c r="J44" s="88" t="s">
        <v>476</v>
      </c>
      <c r="K44" s="77"/>
      <c r="L44" s="77"/>
    </row>
    <row r="45" spans="1:12" x14ac:dyDescent="0.25">
      <c r="A45" s="77"/>
      <c r="B45" s="77"/>
      <c r="C45" s="77" t="s">
        <v>477</v>
      </c>
      <c r="D45" s="138" t="s">
        <v>523</v>
      </c>
      <c r="E45" s="77" t="s">
        <v>484</v>
      </c>
      <c r="F45" s="80">
        <v>0.6</v>
      </c>
      <c r="G45" s="80">
        <v>0.53</v>
      </c>
      <c r="H45" s="82" t="s">
        <v>332</v>
      </c>
      <c r="I45" s="82" t="s">
        <v>332</v>
      </c>
      <c r="J45" s="77"/>
      <c r="K45" s="77"/>
      <c r="L45" s="77"/>
    </row>
    <row r="46" spans="1:12" x14ac:dyDescent="0.25">
      <c r="A46" s="77"/>
      <c r="B46" s="77"/>
      <c r="C46" s="77" t="s">
        <v>477</v>
      </c>
      <c r="D46" s="138" t="s">
        <v>522</v>
      </c>
      <c r="E46" s="77" t="s">
        <v>484</v>
      </c>
      <c r="F46" s="80">
        <v>0.63</v>
      </c>
      <c r="G46" s="80">
        <v>0.55000000000000004</v>
      </c>
      <c r="H46" s="82" t="s">
        <v>332</v>
      </c>
      <c r="I46" s="82" t="s">
        <v>332</v>
      </c>
      <c r="J46" s="77"/>
      <c r="K46" s="77"/>
      <c r="L46" s="77"/>
    </row>
    <row r="47" spans="1:12" x14ac:dyDescent="0.25">
      <c r="A47" s="77"/>
      <c r="B47" s="77"/>
      <c r="C47" s="88" t="s">
        <v>477</v>
      </c>
      <c r="D47" s="88" t="s">
        <v>242</v>
      </c>
      <c r="E47" s="88" t="s">
        <v>484</v>
      </c>
      <c r="F47" s="89">
        <v>0.6</v>
      </c>
      <c r="G47" s="89">
        <v>0.53</v>
      </c>
      <c r="H47" s="82" t="s">
        <v>332</v>
      </c>
      <c r="I47" s="82" t="s">
        <v>332</v>
      </c>
      <c r="J47" s="88" t="s">
        <v>476</v>
      </c>
      <c r="K47" s="77"/>
      <c r="L47" s="77"/>
    </row>
    <row r="48" spans="1:12" x14ac:dyDescent="0.25">
      <c r="A48" s="77"/>
      <c r="B48" s="77"/>
      <c r="C48" s="88" t="s">
        <v>477</v>
      </c>
      <c r="D48" s="88" t="s">
        <v>524</v>
      </c>
      <c r="E48" s="88" t="s">
        <v>484</v>
      </c>
      <c r="F48" s="89">
        <v>0.63</v>
      </c>
      <c r="G48" s="89">
        <v>0.55000000000000004</v>
      </c>
      <c r="H48" s="82" t="s">
        <v>332</v>
      </c>
      <c r="I48" s="82" t="s">
        <v>332</v>
      </c>
      <c r="J48" s="88" t="s">
        <v>476</v>
      </c>
      <c r="K48" s="77"/>
      <c r="L48" s="77"/>
    </row>
    <row r="49" spans="1:12" x14ac:dyDescent="0.25">
      <c r="A49" s="77"/>
      <c r="B49" s="77"/>
      <c r="C49" s="85" t="s">
        <v>332</v>
      </c>
      <c r="D49" s="84" t="s">
        <v>485</v>
      </c>
      <c r="E49" s="77"/>
      <c r="F49" s="86"/>
      <c r="G49" s="77"/>
      <c r="H49" s="77"/>
      <c r="J49" s="77"/>
      <c r="K49" s="77"/>
      <c r="L49" s="77"/>
    </row>
    <row r="50" spans="1:12" x14ac:dyDescent="0.25">
      <c r="A50" s="77"/>
      <c r="B50" s="77"/>
      <c r="C50" s="85" t="s">
        <v>333</v>
      </c>
      <c r="D50" s="84" t="s">
        <v>335</v>
      </c>
      <c r="E50" s="77"/>
      <c r="F50" s="86"/>
      <c r="G50" s="77"/>
      <c r="H50" s="77"/>
      <c r="J50" s="77"/>
      <c r="K50" s="77"/>
      <c r="L50" s="77"/>
    </row>
    <row r="51" spans="1:12" x14ac:dyDescent="0.25">
      <c r="A51" s="77"/>
      <c r="B51" s="77" t="s">
        <v>245</v>
      </c>
      <c r="C51" s="77"/>
      <c r="D51" s="77"/>
      <c r="E51" s="77"/>
      <c r="F51" s="77"/>
      <c r="G51" s="77"/>
      <c r="H51" s="77"/>
      <c r="J51" s="77"/>
      <c r="K51" s="77"/>
      <c r="L51" s="77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92D050"/>
  </sheetPr>
  <dimension ref="A1:X46"/>
  <sheetViews>
    <sheetView zoomScale="85" zoomScaleNormal="85" workbookViewId="0">
      <selection activeCell="E46" sqref="E4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8" x14ac:dyDescent="0.25">
      <c r="A1" s="138" t="s">
        <v>250</v>
      </c>
      <c r="B1" s="138" t="s">
        <v>673</v>
      </c>
      <c r="C1" s="138"/>
      <c r="D1" s="138"/>
      <c r="E1" s="138"/>
      <c r="F1" s="138"/>
      <c r="G1" s="138"/>
      <c r="H1" s="138"/>
    </row>
    <row r="2" spans="1:8" x14ac:dyDescent="0.25">
      <c r="A2" s="138" t="s">
        <v>250</v>
      </c>
      <c r="B2" s="138"/>
      <c r="C2" s="138"/>
      <c r="D2" s="138"/>
      <c r="E2" s="138"/>
      <c r="F2" s="138"/>
      <c r="G2" s="138"/>
      <c r="H2" s="138"/>
    </row>
    <row r="3" spans="1:8" x14ac:dyDescent="0.25">
      <c r="A3" s="138" t="s">
        <v>250</v>
      </c>
      <c r="B3" s="138" t="s">
        <v>357</v>
      </c>
      <c r="C3" s="138"/>
      <c r="D3" s="138"/>
      <c r="E3" s="138"/>
      <c r="F3" s="138"/>
      <c r="G3" s="138"/>
      <c r="H3" s="138"/>
    </row>
    <row r="4" spans="1:8" x14ac:dyDescent="0.25">
      <c r="A4" s="138" t="s">
        <v>250</v>
      </c>
      <c r="B4" s="138"/>
      <c r="C4" s="138" t="s">
        <v>769</v>
      </c>
      <c r="D4" s="138"/>
      <c r="E4" s="138"/>
      <c r="F4" s="138"/>
      <c r="G4" s="138"/>
      <c r="H4" s="138"/>
    </row>
    <row r="5" spans="1:8" x14ac:dyDescent="0.25">
      <c r="A5" s="138" t="s">
        <v>250</v>
      </c>
      <c r="B5" s="138"/>
      <c r="C5" s="138"/>
      <c r="D5" s="138"/>
      <c r="E5" s="138"/>
      <c r="F5" s="138"/>
      <c r="G5" s="138"/>
      <c r="H5" s="138"/>
    </row>
    <row r="6" spans="1:8" x14ac:dyDescent="0.25">
      <c r="A6" s="138" t="s">
        <v>250</v>
      </c>
      <c r="B6" s="138" t="s">
        <v>358</v>
      </c>
      <c r="C6" s="138"/>
      <c r="D6" s="138"/>
      <c r="E6" s="138"/>
      <c r="F6" s="138"/>
      <c r="G6" s="138"/>
      <c r="H6" s="138"/>
    </row>
    <row r="7" spans="1:8" x14ac:dyDescent="0.25">
      <c r="A7" s="138" t="s">
        <v>250</v>
      </c>
      <c r="B7" s="138"/>
      <c r="C7" s="138" t="s">
        <v>263</v>
      </c>
      <c r="D7" s="138" t="s">
        <v>264</v>
      </c>
      <c r="E7" s="138" t="s">
        <v>265</v>
      </c>
      <c r="G7" s="138"/>
      <c r="H7" s="138"/>
    </row>
    <row r="8" spans="1:8" x14ac:dyDescent="0.25">
      <c r="A8" s="138" t="s">
        <v>250</v>
      </c>
      <c r="B8" s="141"/>
      <c r="C8" s="144">
        <v>41904</v>
      </c>
      <c r="D8" s="145" t="s">
        <v>411</v>
      </c>
      <c r="E8" s="138" t="s">
        <v>678</v>
      </c>
      <c r="G8" s="138"/>
      <c r="H8" s="138"/>
    </row>
    <row r="9" spans="1:8" x14ac:dyDescent="0.25">
      <c r="A9" s="138" t="s">
        <v>250</v>
      </c>
      <c r="B9" s="141"/>
      <c r="C9" s="144"/>
      <c r="D9" s="145"/>
      <c r="E9" s="145"/>
      <c r="F9" s="138"/>
      <c r="G9" s="138"/>
      <c r="H9" s="138"/>
    </row>
    <row r="10" spans="1:8" x14ac:dyDescent="0.25">
      <c r="A10" s="138" t="s">
        <v>250</v>
      </c>
      <c r="B10" s="141"/>
      <c r="C10" s="144"/>
      <c r="D10" s="138"/>
      <c r="E10" s="145"/>
      <c r="F10" s="138"/>
      <c r="G10" s="138"/>
      <c r="H10" s="138"/>
    </row>
    <row r="11" spans="1:8" x14ac:dyDescent="0.25">
      <c r="A11" s="138" t="s">
        <v>250</v>
      </c>
      <c r="B11" s="141"/>
      <c r="C11" s="144"/>
      <c r="D11" s="138"/>
      <c r="E11" s="138"/>
      <c r="F11" s="138"/>
      <c r="G11" s="138"/>
      <c r="H11" s="138"/>
    </row>
    <row r="12" spans="1:8" x14ac:dyDescent="0.25">
      <c r="A12" s="138" t="s">
        <v>250</v>
      </c>
      <c r="B12" s="138" t="s">
        <v>690</v>
      </c>
      <c r="C12" s="138"/>
      <c r="D12" s="138"/>
      <c r="E12" s="138"/>
      <c r="F12" s="138"/>
      <c r="G12" s="138"/>
      <c r="H12" s="138"/>
    </row>
    <row r="13" spans="1:8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</row>
    <row r="14" spans="1:8" x14ac:dyDescent="0.25">
      <c r="A14" s="138" t="s">
        <v>250</v>
      </c>
      <c r="B14" s="138"/>
      <c r="C14" s="138"/>
      <c r="D14" s="138"/>
      <c r="E14" s="138"/>
      <c r="F14" s="138"/>
      <c r="G14" s="138"/>
      <c r="H14" s="138"/>
    </row>
    <row r="15" spans="1:8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  <c r="H15" s="138"/>
    </row>
    <row r="16" spans="1:8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</row>
    <row r="17" spans="1:24" x14ac:dyDescent="0.25">
      <c r="A17" s="138" t="s">
        <v>250</v>
      </c>
      <c r="B17" s="138"/>
      <c r="C17" s="138"/>
      <c r="D17" s="138"/>
      <c r="E17" s="138"/>
      <c r="F17" s="138"/>
      <c r="G17" s="138"/>
      <c r="H17" s="138"/>
    </row>
    <row r="18" spans="1:24" x14ac:dyDescent="0.25">
      <c r="A18" s="138" t="s">
        <v>250</v>
      </c>
      <c r="B18" s="138" t="s">
        <v>273</v>
      </c>
      <c r="C18" s="138"/>
      <c r="D18" s="138"/>
      <c r="E18" s="138"/>
      <c r="F18" s="138"/>
      <c r="G18" s="138"/>
      <c r="H18" s="138"/>
    </row>
    <row r="19" spans="1:24" x14ac:dyDescent="0.25">
      <c r="A19" s="138" t="s">
        <v>250</v>
      </c>
      <c r="B19" s="138"/>
      <c r="C19" s="138" t="s">
        <v>761</v>
      </c>
      <c r="D19" s="138"/>
      <c r="E19" s="138"/>
      <c r="F19" s="138"/>
      <c r="G19" s="138"/>
      <c r="H19" s="138"/>
    </row>
    <row r="20" spans="1:24" x14ac:dyDescent="0.25">
      <c r="A20" s="138" t="s">
        <v>250</v>
      </c>
      <c r="B20" s="138"/>
      <c r="D20" s="138"/>
      <c r="E20" s="138"/>
      <c r="F20" s="138"/>
      <c r="G20" s="138"/>
      <c r="H20" s="138"/>
    </row>
    <row r="21" spans="1:24" x14ac:dyDescent="0.25">
      <c r="A21" s="138" t="s">
        <v>250</v>
      </c>
      <c r="B21" s="138"/>
      <c r="C21" s="138"/>
      <c r="D21" s="138"/>
      <c r="E21" s="138"/>
      <c r="F21" s="138"/>
      <c r="G21" s="138"/>
      <c r="H21" s="138"/>
    </row>
    <row r="22" spans="1:24" x14ac:dyDescent="0.25">
      <c r="A22" s="138" t="s">
        <v>250</v>
      </c>
      <c r="B22" s="138"/>
      <c r="C22" s="138"/>
      <c r="D22" s="138"/>
      <c r="E22" s="138"/>
      <c r="F22" s="138"/>
      <c r="G22" s="138"/>
      <c r="H22" s="138"/>
    </row>
    <row r="23" spans="1:24" x14ac:dyDescent="0.25">
      <c r="A23" s="138" t="s">
        <v>366</v>
      </c>
      <c r="B23" s="138"/>
      <c r="C23" s="138"/>
      <c r="D23" s="138"/>
      <c r="E23" s="138"/>
      <c r="F23" s="138"/>
      <c r="G23" s="138"/>
      <c r="H23" s="138"/>
    </row>
    <row r="24" spans="1:24" x14ac:dyDescent="0.25">
      <c r="A24" s="138"/>
      <c r="B24" s="140" t="s">
        <v>768</v>
      </c>
      <c r="C24" s="140"/>
      <c r="D24" s="138"/>
      <c r="E24" s="138"/>
      <c r="F24" s="138"/>
      <c r="G24" s="138"/>
      <c r="H24" s="138"/>
    </row>
    <row r="25" spans="1:24" x14ac:dyDescent="0.25">
      <c r="C25" s="180" t="s">
        <v>474</v>
      </c>
      <c r="D25" s="232" t="s">
        <v>760</v>
      </c>
      <c r="E25" s="180" t="s">
        <v>680</v>
      </c>
      <c r="F25" s="205" t="s">
        <v>209</v>
      </c>
      <c r="G25" s="205" t="s">
        <v>241</v>
      </c>
      <c r="H25" s="205" t="s">
        <v>236</v>
      </c>
      <c r="I25" s="205" t="s">
        <v>209</v>
      </c>
      <c r="J25" s="232" t="s">
        <v>241</v>
      </c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 ht="15.75" thickBot="1" x14ac:dyDescent="0.3">
      <c r="C26" s="212" t="s">
        <v>691</v>
      </c>
      <c r="D26" s="233"/>
      <c r="E26" s="212" t="s">
        <v>483</v>
      </c>
      <c r="F26" s="213" t="s">
        <v>483</v>
      </c>
      <c r="G26" s="213" t="s">
        <v>483</v>
      </c>
      <c r="H26" s="213" t="s">
        <v>484</v>
      </c>
      <c r="I26" s="213" t="s">
        <v>484</v>
      </c>
      <c r="J26" s="233" t="s">
        <v>484</v>
      </c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 ht="15.75" thickTop="1" x14ac:dyDescent="0.25">
      <c r="C27" s="203" t="s">
        <v>349</v>
      </c>
      <c r="D27" s="208" t="s">
        <v>257</v>
      </c>
      <c r="E27" s="234">
        <v>1.25</v>
      </c>
      <c r="F27" s="53">
        <v>0.82</v>
      </c>
      <c r="G27" s="53">
        <v>0.76</v>
      </c>
      <c r="H27" s="235">
        <v>1.25</v>
      </c>
      <c r="I27" s="235">
        <v>0.7</v>
      </c>
      <c r="J27" s="236">
        <v>0.57999999999999996</v>
      </c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 x14ac:dyDescent="0.25">
      <c r="C28" s="203" t="s">
        <v>349</v>
      </c>
      <c r="D28" s="208" t="s">
        <v>252</v>
      </c>
      <c r="E28" s="234">
        <v>0.6</v>
      </c>
      <c r="F28" s="53">
        <v>0.56000000000000005</v>
      </c>
      <c r="G28" s="53">
        <v>0.56000000000000005</v>
      </c>
      <c r="H28" s="266" t="s">
        <v>332</v>
      </c>
      <c r="I28" s="266" t="s">
        <v>332</v>
      </c>
      <c r="J28" s="266" t="s">
        <v>332</v>
      </c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 x14ac:dyDescent="0.25">
      <c r="C29" s="223" t="s">
        <v>682</v>
      </c>
      <c r="D29" s="208" t="s">
        <v>622</v>
      </c>
      <c r="E29" s="234">
        <v>0.6</v>
      </c>
      <c r="F29" s="53">
        <v>0.59</v>
      </c>
      <c r="G29" s="53">
        <v>0.64</v>
      </c>
      <c r="H29" s="53">
        <v>0.6</v>
      </c>
      <c r="I29" s="53">
        <v>0.42</v>
      </c>
      <c r="J29" s="236">
        <v>0.39</v>
      </c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 x14ac:dyDescent="0.25">
      <c r="C30" s="223" t="s">
        <v>683</v>
      </c>
      <c r="D30" s="208" t="s">
        <v>622</v>
      </c>
      <c r="E30" s="234">
        <v>0.6</v>
      </c>
      <c r="F30" s="53">
        <v>0.59</v>
      </c>
      <c r="G30" s="53">
        <v>0.64</v>
      </c>
      <c r="H30" s="53">
        <v>0.6</v>
      </c>
      <c r="I30" s="53">
        <v>0.42</v>
      </c>
      <c r="J30" s="236">
        <v>0.39</v>
      </c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 x14ac:dyDescent="0.25">
      <c r="C31" s="223" t="s">
        <v>684</v>
      </c>
      <c r="D31" s="208" t="s">
        <v>622</v>
      </c>
      <c r="E31" s="234">
        <v>0.6</v>
      </c>
      <c r="F31" s="53">
        <v>0.59</v>
      </c>
      <c r="G31" s="53">
        <v>0.64</v>
      </c>
      <c r="H31" s="53">
        <v>0.6</v>
      </c>
      <c r="I31" s="53">
        <v>0.42</v>
      </c>
      <c r="J31" s="236">
        <v>0.39</v>
      </c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 x14ac:dyDescent="0.25">
      <c r="C32" s="223" t="s">
        <v>682</v>
      </c>
      <c r="D32" s="208" t="s">
        <v>692</v>
      </c>
      <c r="E32" s="234">
        <v>0.45</v>
      </c>
      <c r="F32" s="53">
        <v>0.52</v>
      </c>
      <c r="G32" s="53">
        <v>0.56999999999999995</v>
      </c>
      <c r="H32" s="53">
        <v>0.45</v>
      </c>
      <c r="I32" s="53">
        <v>0.34</v>
      </c>
      <c r="J32" s="236">
        <v>0.21</v>
      </c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2:24" x14ac:dyDescent="0.25">
      <c r="C33" s="223" t="s">
        <v>683</v>
      </c>
      <c r="D33" s="208" t="s">
        <v>692</v>
      </c>
      <c r="E33" s="234">
        <v>0.45</v>
      </c>
      <c r="F33" s="53">
        <v>0.52</v>
      </c>
      <c r="G33" s="53">
        <v>0.56999999999999995</v>
      </c>
      <c r="H33" s="53">
        <v>0.45</v>
      </c>
      <c r="I33" s="53">
        <v>0.34</v>
      </c>
      <c r="J33" s="236">
        <v>0.21</v>
      </c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2:24" x14ac:dyDescent="0.25">
      <c r="C34" s="223" t="s">
        <v>684</v>
      </c>
      <c r="D34" s="208" t="s">
        <v>692</v>
      </c>
      <c r="E34" s="234">
        <v>0.45</v>
      </c>
      <c r="F34" s="53">
        <v>0.52</v>
      </c>
      <c r="G34" s="53">
        <v>0.56999999999999995</v>
      </c>
      <c r="H34" s="53">
        <v>0.45</v>
      </c>
      <c r="I34" s="53">
        <v>0.34</v>
      </c>
      <c r="J34" s="236">
        <v>0.21</v>
      </c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2:24" x14ac:dyDescent="0.25">
      <c r="C35" s="223" t="s">
        <v>685</v>
      </c>
      <c r="D35" s="208" t="s">
        <v>622</v>
      </c>
      <c r="E35" s="234">
        <v>0.9</v>
      </c>
      <c r="F35" s="53">
        <v>0.68</v>
      </c>
      <c r="G35" s="53">
        <v>0.66</v>
      </c>
      <c r="H35" s="53">
        <v>0.9</v>
      </c>
      <c r="I35" s="53">
        <v>0.5</v>
      </c>
      <c r="J35" s="236">
        <v>0.4</v>
      </c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2:24" x14ac:dyDescent="0.25">
      <c r="C36" s="223" t="s">
        <v>686</v>
      </c>
      <c r="D36" s="208" t="s">
        <v>622</v>
      </c>
      <c r="E36" s="234">
        <v>0.9</v>
      </c>
      <c r="F36" s="53">
        <v>0.68</v>
      </c>
      <c r="G36" s="53">
        <v>0.66</v>
      </c>
      <c r="H36" s="53">
        <v>0.9</v>
      </c>
      <c r="I36" s="53">
        <v>0.5</v>
      </c>
      <c r="J36" s="236">
        <v>0.4</v>
      </c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2:24" x14ac:dyDescent="0.25">
      <c r="C37" s="223" t="s">
        <v>685</v>
      </c>
      <c r="D37" s="208" t="s">
        <v>692</v>
      </c>
      <c r="E37" s="234">
        <v>0.7</v>
      </c>
      <c r="F37" s="53">
        <v>0.6</v>
      </c>
      <c r="G37" s="53">
        <v>0.59</v>
      </c>
      <c r="H37" s="53">
        <v>0.7</v>
      </c>
      <c r="I37" s="53">
        <v>0.42</v>
      </c>
      <c r="J37" s="236">
        <v>0.22</v>
      </c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</row>
    <row r="38" spans="2:24" x14ac:dyDescent="0.25">
      <c r="C38" s="221" t="s">
        <v>686</v>
      </c>
      <c r="D38" s="209" t="s">
        <v>692</v>
      </c>
      <c r="E38" s="237">
        <v>0.7</v>
      </c>
      <c r="F38" s="238">
        <v>0.6</v>
      </c>
      <c r="G38" s="238">
        <v>0.59</v>
      </c>
      <c r="H38" s="238">
        <v>0.7</v>
      </c>
      <c r="I38" s="238">
        <v>0.42</v>
      </c>
      <c r="J38" s="239">
        <v>0.22</v>
      </c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</row>
    <row r="39" spans="2:24" x14ac:dyDescent="0.25">
      <c r="B39" s="52"/>
      <c r="C39" s="267" t="s">
        <v>332</v>
      </c>
      <c r="D39" s="224" t="s">
        <v>765</v>
      </c>
      <c r="E39" s="52"/>
      <c r="F39" s="52"/>
      <c r="G39" s="52"/>
      <c r="H39" s="52"/>
      <c r="I39" s="52"/>
      <c r="J39" s="224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</row>
    <row r="40" spans="2:24" x14ac:dyDescent="0.25">
      <c r="B40" t="s">
        <v>245</v>
      </c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</row>
    <row r="41" spans="2:24" x14ac:dyDescent="0.25"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</row>
    <row r="42" spans="2:24" x14ac:dyDescent="0.25"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</row>
    <row r="43" spans="2:24" x14ac:dyDescent="0.25"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</row>
    <row r="44" spans="2:24" x14ac:dyDescent="0.25"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</row>
    <row r="45" spans="2:24" x14ac:dyDescent="0.25"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</row>
    <row r="46" spans="2:24" x14ac:dyDescent="0.25"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92D050"/>
  </sheetPr>
  <dimension ref="A1:AA83"/>
  <sheetViews>
    <sheetView topLeftCell="A2" zoomScale="85" zoomScaleNormal="85" workbookViewId="0">
      <selection activeCell="D80" sqref="D80"/>
    </sheetView>
  </sheetViews>
  <sheetFormatPr defaultRowHeight="15" x14ac:dyDescent="0.25"/>
  <cols>
    <col min="1" max="1" width="2.28515625" style="138" customWidth="1"/>
    <col min="2" max="2" width="5.42578125" style="138" customWidth="1"/>
    <col min="3" max="3" width="77.5703125" style="138" bestFit="1" customWidth="1"/>
    <col min="4" max="4" width="33.7109375" style="138" bestFit="1" customWidth="1"/>
    <col min="5" max="5" width="30.7109375" style="138" bestFit="1" customWidth="1"/>
    <col min="6" max="6" width="37.85546875" style="138" bestFit="1" customWidth="1"/>
    <col min="7" max="8" width="28.140625" style="138" customWidth="1"/>
    <col min="9" max="9" width="33.7109375" style="138" bestFit="1" customWidth="1"/>
    <col min="10" max="10" width="30.7109375" style="138" bestFit="1" customWidth="1"/>
    <col min="11" max="12" width="30.7109375" style="138" customWidth="1"/>
    <col min="13" max="13" width="31.42578125" style="138" bestFit="1" customWidth="1"/>
    <col min="14" max="14" width="14.140625" style="138" bestFit="1" customWidth="1"/>
    <col min="15" max="16384" width="9.140625" style="138"/>
  </cols>
  <sheetData>
    <row r="1" spans="1:4" x14ac:dyDescent="0.25">
      <c r="A1" s="138" t="s">
        <v>250</v>
      </c>
      <c r="B1" s="138" t="s">
        <v>673</v>
      </c>
    </row>
    <row r="2" spans="1:4" x14ac:dyDescent="0.25">
      <c r="A2" s="138" t="s">
        <v>250</v>
      </c>
    </row>
    <row r="3" spans="1:4" x14ac:dyDescent="0.25">
      <c r="A3" s="138" t="s">
        <v>250</v>
      </c>
      <c r="B3" s="138" t="s">
        <v>357</v>
      </c>
    </row>
    <row r="4" spans="1:4" x14ac:dyDescent="0.25">
      <c r="A4" s="138" t="s">
        <v>250</v>
      </c>
      <c r="C4" s="6" t="s">
        <v>771</v>
      </c>
    </row>
    <row r="5" spans="1:4" x14ac:dyDescent="0.25">
      <c r="A5" s="138" t="s">
        <v>250</v>
      </c>
    </row>
    <row r="6" spans="1:4" x14ac:dyDescent="0.25">
      <c r="A6" s="138" t="s">
        <v>250</v>
      </c>
      <c r="B6" s="138" t="s">
        <v>358</v>
      </c>
    </row>
    <row r="7" spans="1:4" x14ac:dyDescent="0.25">
      <c r="A7" s="138" t="s">
        <v>250</v>
      </c>
      <c r="C7" s="138" t="s">
        <v>263</v>
      </c>
      <c r="D7" s="138" t="s">
        <v>265</v>
      </c>
    </row>
    <row r="8" spans="1:4" x14ac:dyDescent="0.25">
      <c r="A8" s="138" t="s">
        <v>250</v>
      </c>
      <c r="B8" s="141"/>
      <c r="C8" s="144">
        <v>41904</v>
      </c>
      <c r="D8" s="138" t="s">
        <v>678</v>
      </c>
    </row>
    <row r="9" spans="1:4" x14ac:dyDescent="0.25">
      <c r="A9" s="138" t="s">
        <v>250</v>
      </c>
      <c r="B9" s="141"/>
      <c r="C9" s="144"/>
      <c r="D9" s="145"/>
    </row>
    <row r="10" spans="1:4" x14ac:dyDescent="0.25">
      <c r="A10" s="138" t="s">
        <v>250</v>
      </c>
      <c r="B10" s="141"/>
      <c r="C10" s="144"/>
      <c r="D10" s="145"/>
    </row>
    <row r="11" spans="1:4" x14ac:dyDescent="0.25">
      <c r="A11" s="138" t="s">
        <v>250</v>
      </c>
      <c r="B11" s="141"/>
      <c r="C11" s="144"/>
    </row>
    <row r="12" spans="1:4" x14ac:dyDescent="0.25">
      <c r="A12" s="138" t="s">
        <v>250</v>
      </c>
      <c r="B12" s="138" t="s">
        <v>690</v>
      </c>
    </row>
    <row r="13" spans="1:4" x14ac:dyDescent="0.25">
      <c r="A13" s="138" t="s">
        <v>250</v>
      </c>
    </row>
    <row r="14" spans="1:4" x14ac:dyDescent="0.25">
      <c r="A14" s="138" t="s">
        <v>250</v>
      </c>
    </row>
    <row r="15" spans="1:4" x14ac:dyDescent="0.25">
      <c r="A15" s="138" t="s">
        <v>250</v>
      </c>
      <c r="B15" s="138" t="s">
        <v>251</v>
      </c>
    </row>
    <row r="16" spans="1:4" x14ac:dyDescent="0.25">
      <c r="A16" s="138" t="s">
        <v>250</v>
      </c>
    </row>
    <row r="17" spans="1:27" x14ac:dyDescent="0.25">
      <c r="A17" s="138" t="s">
        <v>250</v>
      </c>
    </row>
    <row r="18" spans="1:27" x14ac:dyDescent="0.25">
      <c r="A18" s="138" t="s">
        <v>250</v>
      </c>
      <c r="B18" s="138" t="s">
        <v>273</v>
      </c>
    </row>
    <row r="19" spans="1:27" x14ac:dyDescent="0.25">
      <c r="A19" s="138" t="s">
        <v>250</v>
      </c>
      <c r="C19" s="138" t="s">
        <v>762</v>
      </c>
    </row>
    <row r="20" spans="1:27" x14ac:dyDescent="0.25">
      <c r="A20" s="138" t="s">
        <v>250</v>
      </c>
    </row>
    <row r="21" spans="1:27" x14ac:dyDescent="0.25">
      <c r="A21" s="138" t="s">
        <v>250</v>
      </c>
    </row>
    <row r="22" spans="1:27" x14ac:dyDescent="0.25">
      <c r="A22" s="138" t="s">
        <v>250</v>
      </c>
    </row>
    <row r="23" spans="1:27" x14ac:dyDescent="0.25">
      <c r="A23" s="138" t="s">
        <v>366</v>
      </c>
    </row>
    <row r="24" spans="1:27" x14ac:dyDescent="0.25">
      <c r="B24" s="4" t="s">
        <v>770</v>
      </c>
      <c r="C24" s="4"/>
    </row>
    <row r="25" spans="1:27" x14ac:dyDescent="0.25">
      <c r="C25" s="180" t="s">
        <v>760</v>
      </c>
      <c r="D25" s="228" t="s">
        <v>236</v>
      </c>
      <c r="E25" s="224" t="s">
        <v>236</v>
      </c>
      <c r="F25" s="224" t="s">
        <v>236</v>
      </c>
      <c r="G25" s="224" t="s">
        <v>236</v>
      </c>
      <c r="H25" s="263" t="s">
        <v>236</v>
      </c>
      <c r="I25" s="228" t="s">
        <v>236</v>
      </c>
      <c r="J25" s="224" t="s">
        <v>236</v>
      </c>
      <c r="K25" s="224" t="s">
        <v>236</v>
      </c>
      <c r="L25" s="224" t="s">
        <v>236</v>
      </c>
      <c r="M25" s="263" t="s">
        <v>236</v>
      </c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25">
      <c r="C26" s="228" t="s">
        <v>575</v>
      </c>
      <c r="D26" s="254" t="s">
        <v>470</v>
      </c>
      <c r="E26" s="255" t="s">
        <v>470</v>
      </c>
      <c r="F26" s="255" t="s">
        <v>470</v>
      </c>
      <c r="G26" s="255" t="s">
        <v>470</v>
      </c>
      <c r="H26" s="256" t="s">
        <v>470</v>
      </c>
      <c r="I26" s="254" t="s">
        <v>471</v>
      </c>
      <c r="J26" s="255" t="s">
        <v>471</v>
      </c>
      <c r="K26" s="255" t="s">
        <v>471</v>
      </c>
      <c r="L26" s="255" t="s">
        <v>471</v>
      </c>
      <c r="M26" s="256" t="s">
        <v>471</v>
      </c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ht="15.75" thickBot="1" x14ac:dyDescent="0.3">
      <c r="C27" s="212" t="s">
        <v>764</v>
      </c>
      <c r="D27" s="167" t="s">
        <v>780</v>
      </c>
      <c r="E27" s="159" t="s">
        <v>779</v>
      </c>
      <c r="F27" s="159" t="s">
        <v>781</v>
      </c>
      <c r="G27" s="159" t="s">
        <v>782</v>
      </c>
      <c r="H27" s="257" t="s">
        <v>783</v>
      </c>
      <c r="I27" s="167" t="s">
        <v>780</v>
      </c>
      <c r="J27" s="159" t="s">
        <v>779</v>
      </c>
      <c r="K27" s="159" t="s">
        <v>781</v>
      </c>
      <c r="L27" s="159" t="s">
        <v>782</v>
      </c>
      <c r="M27" s="257" t="s">
        <v>783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ht="15.75" thickTop="1" x14ac:dyDescent="0.25">
      <c r="C28" s="258" t="s">
        <v>693</v>
      </c>
      <c r="D28" s="234">
        <v>1.98</v>
      </c>
      <c r="E28" s="53">
        <v>1.89</v>
      </c>
      <c r="F28" s="53">
        <v>1.75</v>
      </c>
      <c r="G28" s="53">
        <v>1.47</v>
      </c>
      <c r="H28" s="300">
        <v>-999</v>
      </c>
      <c r="I28" s="321">
        <v>1.36</v>
      </c>
      <c r="J28" s="235">
        <v>1.25</v>
      </c>
      <c r="K28" s="317">
        <v>-999</v>
      </c>
      <c r="L28" s="317">
        <v>-999</v>
      </c>
      <c r="M28" s="236">
        <v>1.25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25">
      <c r="C29" s="258" t="s">
        <v>694</v>
      </c>
      <c r="D29" s="234">
        <v>1.82</v>
      </c>
      <c r="E29" s="53">
        <v>1.73</v>
      </c>
      <c r="F29" s="53">
        <v>1.6</v>
      </c>
      <c r="G29" s="53">
        <v>1.31</v>
      </c>
      <c r="H29" s="300">
        <v>-999</v>
      </c>
      <c r="I29" s="234">
        <v>1.21</v>
      </c>
      <c r="J29" s="53">
        <v>1.1000000000000001</v>
      </c>
      <c r="K29" s="317">
        <v>-999</v>
      </c>
      <c r="L29" s="317">
        <v>-999</v>
      </c>
      <c r="M29" s="236">
        <v>1.1000000000000001</v>
      </c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25">
      <c r="C30" s="258" t="s">
        <v>695</v>
      </c>
      <c r="D30" s="234">
        <v>1.9</v>
      </c>
      <c r="E30" s="53">
        <v>1.81</v>
      </c>
      <c r="F30" s="53">
        <v>1.68</v>
      </c>
      <c r="G30" s="53">
        <v>0.13900000000000001</v>
      </c>
      <c r="H30" s="300">
        <v>-999</v>
      </c>
      <c r="I30" s="234">
        <v>1.29</v>
      </c>
      <c r="J30" s="53">
        <v>1.18</v>
      </c>
      <c r="K30" s="317">
        <v>-999</v>
      </c>
      <c r="L30" s="317">
        <v>-999</v>
      </c>
      <c r="M30" s="236">
        <v>1.18</v>
      </c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25">
      <c r="C31" s="229" t="s">
        <v>696</v>
      </c>
      <c r="D31" s="259">
        <v>1.31</v>
      </c>
      <c r="E31" s="260">
        <v>1.1100000000000001</v>
      </c>
      <c r="F31" s="260">
        <v>1.05</v>
      </c>
      <c r="G31" s="260">
        <v>0.84</v>
      </c>
      <c r="H31" s="299">
        <v>-999</v>
      </c>
      <c r="I31" s="259">
        <v>0.82</v>
      </c>
      <c r="J31" s="260">
        <v>0.7</v>
      </c>
      <c r="K31" s="318">
        <v>-999</v>
      </c>
      <c r="L31" s="318">
        <v>-999</v>
      </c>
      <c r="M31" s="261">
        <v>0.66</v>
      </c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25">
      <c r="C32" s="258" t="s">
        <v>697</v>
      </c>
      <c r="D32" s="234">
        <v>1.3</v>
      </c>
      <c r="E32" s="53">
        <v>1.1000000000000001</v>
      </c>
      <c r="F32" s="53">
        <v>1.04</v>
      </c>
      <c r="G32" s="53">
        <v>0.84</v>
      </c>
      <c r="H32" s="300">
        <v>-999</v>
      </c>
      <c r="I32" s="234">
        <v>0.81</v>
      </c>
      <c r="J32" s="53">
        <v>0.69</v>
      </c>
      <c r="K32" s="317">
        <v>-999</v>
      </c>
      <c r="L32" s="317">
        <v>-999</v>
      </c>
      <c r="M32" s="236">
        <v>0.65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3:27" x14ac:dyDescent="0.25">
      <c r="C33" s="258" t="s">
        <v>698</v>
      </c>
      <c r="D33" s="234">
        <v>1.27</v>
      </c>
      <c r="E33" s="53">
        <v>1.07</v>
      </c>
      <c r="F33" s="53">
        <v>1</v>
      </c>
      <c r="G33" s="53">
        <v>0.8</v>
      </c>
      <c r="H33" s="300">
        <v>-999</v>
      </c>
      <c r="I33" s="234">
        <v>0.77</v>
      </c>
      <c r="J33" s="53">
        <v>0.66</v>
      </c>
      <c r="K33" s="317">
        <v>-999</v>
      </c>
      <c r="L33" s="317">
        <v>-999</v>
      </c>
      <c r="M33" s="236">
        <v>0.62</v>
      </c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3:27" x14ac:dyDescent="0.25">
      <c r="C34" s="262" t="s">
        <v>699</v>
      </c>
      <c r="D34" s="237">
        <v>1.27</v>
      </c>
      <c r="E34" s="238">
        <v>1.07</v>
      </c>
      <c r="F34" s="238">
        <v>1</v>
      </c>
      <c r="G34" s="238">
        <v>0.8</v>
      </c>
      <c r="H34" s="301">
        <v>-999</v>
      </c>
      <c r="I34" s="237">
        <v>0.77</v>
      </c>
      <c r="J34" s="238">
        <v>0.66</v>
      </c>
      <c r="K34" s="319">
        <v>-999</v>
      </c>
      <c r="L34" s="319">
        <v>-999</v>
      </c>
      <c r="M34" s="239">
        <v>0.62</v>
      </c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3:27" x14ac:dyDescent="0.25">
      <c r="C35" s="258" t="s">
        <v>700</v>
      </c>
      <c r="D35" s="234">
        <v>1.01</v>
      </c>
      <c r="E35" s="53">
        <v>0.78</v>
      </c>
      <c r="F35" s="53">
        <v>0.73</v>
      </c>
      <c r="G35" s="53">
        <v>0.53</v>
      </c>
      <c r="H35" s="300">
        <v>-999</v>
      </c>
      <c r="I35" s="234">
        <v>0.54</v>
      </c>
      <c r="J35" s="53">
        <v>0.43</v>
      </c>
      <c r="K35" s="317">
        <v>-999</v>
      </c>
      <c r="L35" s="317">
        <v>-999</v>
      </c>
      <c r="M35" s="236">
        <v>0.37</v>
      </c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3:27" x14ac:dyDescent="0.25">
      <c r="C36" s="258" t="s">
        <v>701</v>
      </c>
      <c r="D36" s="234">
        <v>0.99</v>
      </c>
      <c r="E36" s="53">
        <v>0.76</v>
      </c>
      <c r="F36" s="53">
        <v>0.71</v>
      </c>
      <c r="G36" s="53">
        <v>0.51</v>
      </c>
      <c r="H36" s="300">
        <v>-999</v>
      </c>
      <c r="I36" s="234">
        <v>0.52</v>
      </c>
      <c r="J36" s="53">
        <v>0.41</v>
      </c>
      <c r="K36" s="317">
        <v>-999</v>
      </c>
      <c r="L36" s="317">
        <v>-999</v>
      </c>
      <c r="M36" s="236">
        <v>0.36</v>
      </c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3:27" x14ac:dyDescent="0.25">
      <c r="C37" s="258" t="s">
        <v>702</v>
      </c>
      <c r="D37" s="234">
        <v>1.23</v>
      </c>
      <c r="E37" s="53">
        <v>1.03</v>
      </c>
      <c r="F37" s="53">
        <v>0.97</v>
      </c>
      <c r="G37" s="53">
        <v>0.76</v>
      </c>
      <c r="H37" s="300">
        <v>-999</v>
      </c>
      <c r="I37" s="234">
        <v>0.74</v>
      </c>
      <c r="J37" s="53">
        <v>0.63</v>
      </c>
      <c r="K37" s="317">
        <v>-999</v>
      </c>
      <c r="L37" s="317">
        <v>-999</v>
      </c>
      <c r="M37" s="236">
        <v>0.57999999999999996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3:27" x14ac:dyDescent="0.25">
      <c r="C38" s="258" t="s">
        <v>703</v>
      </c>
      <c r="D38" s="234">
        <v>1.23</v>
      </c>
      <c r="E38" s="53">
        <v>1.03</v>
      </c>
      <c r="F38" s="53">
        <v>0.97</v>
      </c>
      <c r="G38" s="53">
        <v>0.76</v>
      </c>
      <c r="H38" s="300">
        <v>-999</v>
      </c>
      <c r="I38" s="234">
        <v>0.74</v>
      </c>
      <c r="J38" s="53">
        <v>0.63</v>
      </c>
      <c r="K38" s="317">
        <v>-999</v>
      </c>
      <c r="L38" s="317">
        <v>-999</v>
      </c>
      <c r="M38" s="236">
        <v>0.57999999999999996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3:27" x14ac:dyDescent="0.25">
      <c r="C39" s="229" t="s">
        <v>704</v>
      </c>
      <c r="D39" s="259">
        <v>1.25</v>
      </c>
      <c r="E39" s="260">
        <v>1.05</v>
      </c>
      <c r="F39" s="260">
        <v>0.99</v>
      </c>
      <c r="G39" s="260">
        <v>0.78</v>
      </c>
      <c r="H39" s="299">
        <v>-999</v>
      </c>
      <c r="I39" s="259">
        <v>0.76</v>
      </c>
      <c r="J39" s="260">
        <v>0.64</v>
      </c>
      <c r="K39" s="318">
        <v>-999</v>
      </c>
      <c r="L39" s="318">
        <v>-999</v>
      </c>
      <c r="M39" s="261">
        <v>0.6</v>
      </c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3:27" x14ac:dyDescent="0.25">
      <c r="C40" s="258" t="s">
        <v>705</v>
      </c>
      <c r="D40" s="234">
        <v>1.24</v>
      </c>
      <c r="E40" s="53">
        <v>1.04</v>
      </c>
      <c r="F40" s="53">
        <v>0.98</v>
      </c>
      <c r="G40" s="53">
        <v>0.77</v>
      </c>
      <c r="H40" s="300">
        <v>-999</v>
      </c>
      <c r="I40" s="234">
        <v>0.75</v>
      </c>
      <c r="J40" s="53">
        <v>0.64</v>
      </c>
      <c r="K40" s="317">
        <v>-999</v>
      </c>
      <c r="L40" s="317">
        <v>-999</v>
      </c>
      <c r="M40" s="236">
        <v>0.59</v>
      </c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3:27" x14ac:dyDescent="0.25">
      <c r="C41" s="258" t="s">
        <v>706</v>
      </c>
      <c r="D41" s="234">
        <v>1.18</v>
      </c>
      <c r="E41" s="53">
        <v>0.99</v>
      </c>
      <c r="F41" s="53">
        <v>0.92</v>
      </c>
      <c r="G41" s="53">
        <v>0.72</v>
      </c>
      <c r="H41" s="300">
        <v>-999</v>
      </c>
      <c r="I41" s="234">
        <v>0.7</v>
      </c>
      <c r="J41" s="53">
        <v>0.57999999999999996</v>
      </c>
      <c r="K41" s="317">
        <v>-999</v>
      </c>
      <c r="L41" s="317">
        <v>-999</v>
      </c>
      <c r="M41" s="236">
        <v>0.54</v>
      </c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3:27" x14ac:dyDescent="0.25">
      <c r="C42" s="262" t="s">
        <v>707</v>
      </c>
      <c r="D42" s="237">
        <v>1.2</v>
      </c>
      <c r="E42" s="238">
        <v>1</v>
      </c>
      <c r="F42" s="238">
        <v>0.94</v>
      </c>
      <c r="G42" s="238">
        <v>0.74</v>
      </c>
      <c r="H42" s="301">
        <v>-999</v>
      </c>
      <c r="I42" s="237">
        <v>0.71</v>
      </c>
      <c r="J42" s="238">
        <v>0.6</v>
      </c>
      <c r="K42" s="319">
        <v>-999</v>
      </c>
      <c r="L42" s="319">
        <v>-999</v>
      </c>
      <c r="M42" s="239">
        <v>0.56000000000000005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3:27" x14ac:dyDescent="0.25">
      <c r="C43" s="229" t="s">
        <v>708</v>
      </c>
      <c r="D43" s="259">
        <v>1.2</v>
      </c>
      <c r="E43" s="260">
        <v>1</v>
      </c>
      <c r="F43" s="260">
        <v>0.94</v>
      </c>
      <c r="G43" s="260">
        <v>0.74</v>
      </c>
      <c r="H43" s="299">
        <v>-999</v>
      </c>
      <c r="I43" s="259">
        <v>0.71</v>
      </c>
      <c r="J43" s="260">
        <v>0.6</v>
      </c>
      <c r="K43" s="318">
        <v>-999</v>
      </c>
      <c r="L43" s="318">
        <v>-999</v>
      </c>
      <c r="M43" s="261">
        <v>0.56000000000000005</v>
      </c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3:27" x14ac:dyDescent="0.25">
      <c r="C44" s="258" t="s">
        <v>709</v>
      </c>
      <c r="D44" s="234">
        <v>1.2</v>
      </c>
      <c r="E44" s="53">
        <v>1</v>
      </c>
      <c r="F44" s="53">
        <v>0.94</v>
      </c>
      <c r="G44" s="53">
        <v>0.74</v>
      </c>
      <c r="H44" s="300">
        <v>-999</v>
      </c>
      <c r="I44" s="234">
        <v>0.71</v>
      </c>
      <c r="J44" s="53">
        <v>0.6</v>
      </c>
      <c r="K44" s="317">
        <v>-999</v>
      </c>
      <c r="L44" s="317">
        <v>-999</v>
      </c>
      <c r="M44" s="236">
        <v>0.56000000000000005</v>
      </c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3:27" x14ac:dyDescent="0.25">
      <c r="C45" s="258" t="s">
        <v>710</v>
      </c>
      <c r="D45" s="234">
        <v>1.1399999999999999</v>
      </c>
      <c r="E45" s="53">
        <v>0.94</v>
      </c>
      <c r="F45" s="53">
        <v>0.88</v>
      </c>
      <c r="G45" s="53">
        <v>0.68</v>
      </c>
      <c r="H45" s="300">
        <v>-999</v>
      </c>
      <c r="I45" s="234">
        <v>0.65</v>
      </c>
      <c r="J45" s="53">
        <v>0.54</v>
      </c>
      <c r="K45" s="317">
        <v>-999</v>
      </c>
      <c r="L45" s="317">
        <v>-999</v>
      </c>
      <c r="M45" s="236">
        <v>0.5</v>
      </c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3:27" x14ac:dyDescent="0.25">
      <c r="C46" s="262" t="s">
        <v>711</v>
      </c>
      <c r="D46" s="237">
        <v>1.1499999999999999</v>
      </c>
      <c r="E46" s="238">
        <v>0.95</v>
      </c>
      <c r="F46" s="238">
        <v>0.89</v>
      </c>
      <c r="G46" s="238">
        <v>0.68</v>
      </c>
      <c r="H46" s="301">
        <v>-999</v>
      </c>
      <c r="I46" s="237">
        <v>0.66</v>
      </c>
      <c r="J46" s="238">
        <v>0.55000000000000004</v>
      </c>
      <c r="K46" s="319">
        <v>-999</v>
      </c>
      <c r="L46" s="319">
        <v>-999</v>
      </c>
      <c r="M46" s="239">
        <v>0.51</v>
      </c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3:27" x14ac:dyDescent="0.25">
      <c r="C47" s="229" t="s">
        <v>712</v>
      </c>
      <c r="D47" s="259">
        <v>1.18</v>
      </c>
      <c r="E47" s="260">
        <v>0.99</v>
      </c>
      <c r="F47" s="260">
        <v>0.92</v>
      </c>
      <c r="G47" s="260">
        <v>0.72</v>
      </c>
      <c r="H47" s="299">
        <v>-999</v>
      </c>
      <c r="I47" s="259">
        <v>0.7</v>
      </c>
      <c r="J47" s="260">
        <v>0.57999999999999996</v>
      </c>
      <c r="K47" s="318">
        <v>-999</v>
      </c>
      <c r="L47" s="318">
        <v>-999</v>
      </c>
      <c r="M47" s="261">
        <v>0.54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3:27" x14ac:dyDescent="0.25">
      <c r="C48" s="258" t="s">
        <v>713</v>
      </c>
      <c r="D48" s="234">
        <v>1.18</v>
      </c>
      <c r="E48" s="53">
        <v>0.99</v>
      </c>
      <c r="F48" s="53">
        <v>0.92</v>
      </c>
      <c r="G48" s="53">
        <v>0.72</v>
      </c>
      <c r="H48" s="300">
        <v>-999</v>
      </c>
      <c r="I48" s="234">
        <v>0.7</v>
      </c>
      <c r="J48" s="53">
        <v>0.57999999999999996</v>
      </c>
      <c r="K48" s="317">
        <v>-999</v>
      </c>
      <c r="L48" s="317">
        <v>-999</v>
      </c>
      <c r="M48" s="236">
        <v>0.54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3:27" x14ac:dyDescent="0.25">
      <c r="C49" s="258" t="s">
        <v>714</v>
      </c>
      <c r="D49" s="234">
        <v>1.1100000000000001</v>
      </c>
      <c r="E49" s="53">
        <v>0.91</v>
      </c>
      <c r="F49" s="53">
        <v>0.85</v>
      </c>
      <c r="G49" s="53">
        <v>0.65</v>
      </c>
      <c r="H49" s="300">
        <v>-999</v>
      </c>
      <c r="I49" s="234">
        <v>0.63</v>
      </c>
      <c r="J49" s="53">
        <v>0.52</v>
      </c>
      <c r="K49" s="317">
        <v>-999</v>
      </c>
      <c r="L49" s="317">
        <v>-999</v>
      </c>
      <c r="M49" s="236">
        <v>0.47</v>
      </c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3:27" x14ac:dyDescent="0.25">
      <c r="C50" s="262" t="s">
        <v>715</v>
      </c>
      <c r="D50" s="237">
        <v>1.1299999999999999</v>
      </c>
      <c r="E50" s="238">
        <v>0.93</v>
      </c>
      <c r="F50" s="238">
        <v>0.87</v>
      </c>
      <c r="G50" s="238">
        <v>0.67</v>
      </c>
      <c r="H50" s="301">
        <v>-999</v>
      </c>
      <c r="I50" s="237">
        <v>0.65</v>
      </c>
      <c r="J50" s="238">
        <v>0.53</v>
      </c>
      <c r="K50" s="319">
        <v>-999</v>
      </c>
      <c r="L50" s="319">
        <v>-999</v>
      </c>
      <c r="M50" s="239">
        <v>0.49</v>
      </c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3:27" x14ac:dyDescent="0.25">
      <c r="C51" s="258" t="s">
        <v>716</v>
      </c>
      <c r="D51" s="234">
        <v>1.17</v>
      </c>
      <c r="E51" s="53">
        <v>0.97</v>
      </c>
      <c r="F51" s="53">
        <v>0.91</v>
      </c>
      <c r="G51" s="53">
        <v>0.7</v>
      </c>
      <c r="H51" s="300">
        <v>-999</v>
      </c>
      <c r="I51" s="234">
        <v>0.68</v>
      </c>
      <c r="J51" s="53">
        <v>0.56999999999999995</v>
      </c>
      <c r="K51" s="317">
        <v>-999</v>
      </c>
      <c r="L51" s="317">
        <v>-999</v>
      </c>
      <c r="M51" s="236">
        <v>0.52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3:27" x14ac:dyDescent="0.25">
      <c r="C52" s="258" t="s">
        <v>717</v>
      </c>
      <c r="D52" s="234">
        <v>1.17</v>
      </c>
      <c r="E52" s="53">
        <v>0.98</v>
      </c>
      <c r="F52" s="53">
        <v>0.91</v>
      </c>
      <c r="G52" s="53">
        <v>0.71</v>
      </c>
      <c r="H52" s="300">
        <v>-999</v>
      </c>
      <c r="I52" s="234">
        <v>0.69</v>
      </c>
      <c r="J52" s="53">
        <v>0.57999999999999996</v>
      </c>
      <c r="K52" s="317">
        <v>-999</v>
      </c>
      <c r="L52" s="317">
        <v>-999</v>
      </c>
      <c r="M52" s="236">
        <v>0.53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3:27" x14ac:dyDescent="0.25">
      <c r="C53" s="258" t="s">
        <v>718</v>
      </c>
      <c r="D53" s="234">
        <v>1.0900000000000001</v>
      </c>
      <c r="E53" s="53">
        <v>0.89</v>
      </c>
      <c r="F53" s="53">
        <v>0.83</v>
      </c>
      <c r="G53" s="53">
        <v>0.63</v>
      </c>
      <c r="H53" s="300">
        <v>-999</v>
      </c>
      <c r="I53" s="234">
        <v>0.61</v>
      </c>
      <c r="J53" s="53">
        <v>0.5</v>
      </c>
      <c r="K53" s="317">
        <v>-999</v>
      </c>
      <c r="L53" s="317">
        <v>-999</v>
      </c>
      <c r="M53" s="236">
        <v>0.45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3:27" x14ac:dyDescent="0.25">
      <c r="C54" s="258" t="s">
        <v>719</v>
      </c>
      <c r="D54" s="234">
        <v>1.1100000000000001</v>
      </c>
      <c r="E54" s="53">
        <v>0.91</v>
      </c>
      <c r="F54" s="53">
        <v>0.85</v>
      </c>
      <c r="G54" s="53">
        <v>0.65</v>
      </c>
      <c r="H54" s="300">
        <v>-999</v>
      </c>
      <c r="I54" s="234">
        <v>0.63</v>
      </c>
      <c r="J54" s="53">
        <v>0.52</v>
      </c>
      <c r="K54" s="317">
        <v>-999</v>
      </c>
      <c r="L54" s="317">
        <v>-999</v>
      </c>
      <c r="M54" s="236">
        <v>0.47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3:27" x14ac:dyDescent="0.25">
      <c r="C55" s="229" t="s">
        <v>720</v>
      </c>
      <c r="D55" s="259">
        <v>1.1200000000000001</v>
      </c>
      <c r="E55" s="260">
        <v>0.89</v>
      </c>
      <c r="F55" s="260">
        <v>0.84</v>
      </c>
      <c r="G55" s="260">
        <v>0.64</v>
      </c>
      <c r="H55" s="299">
        <v>-999</v>
      </c>
      <c r="I55" s="259">
        <v>0.64</v>
      </c>
      <c r="J55" s="260">
        <v>0.53</v>
      </c>
      <c r="K55" s="318">
        <v>-999</v>
      </c>
      <c r="L55" s="318">
        <v>-999</v>
      </c>
      <c r="M55" s="261">
        <v>0.48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3:27" x14ac:dyDescent="0.25">
      <c r="C56" s="258" t="s">
        <v>721</v>
      </c>
      <c r="D56" s="234">
        <v>1.1000000000000001</v>
      </c>
      <c r="E56" s="53">
        <v>0.87</v>
      </c>
      <c r="F56" s="53">
        <v>0.81</v>
      </c>
      <c r="G56" s="53">
        <v>0.61</v>
      </c>
      <c r="H56" s="300">
        <v>-999</v>
      </c>
      <c r="I56" s="234">
        <v>0.62</v>
      </c>
      <c r="J56" s="53">
        <v>0.51</v>
      </c>
      <c r="K56" s="317">
        <v>-999</v>
      </c>
      <c r="L56" s="317">
        <v>-999</v>
      </c>
      <c r="M56" s="236">
        <v>0.45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3:27" x14ac:dyDescent="0.25">
      <c r="C57" s="258" t="s">
        <v>722</v>
      </c>
      <c r="D57" s="234">
        <v>1.0900000000000001</v>
      </c>
      <c r="E57" s="53">
        <v>0.86</v>
      </c>
      <c r="F57" s="53">
        <v>0.8</v>
      </c>
      <c r="G57" s="53">
        <v>0.6</v>
      </c>
      <c r="H57" s="300">
        <v>-999</v>
      </c>
      <c r="I57" s="234">
        <v>0.61</v>
      </c>
      <c r="J57" s="53">
        <v>0.5</v>
      </c>
      <c r="K57" s="317">
        <v>-999</v>
      </c>
      <c r="L57" s="317">
        <v>-999</v>
      </c>
      <c r="M57" s="236">
        <v>0.44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3:27" x14ac:dyDescent="0.25">
      <c r="C58" s="262" t="s">
        <v>723</v>
      </c>
      <c r="D58" s="237">
        <v>1.07</v>
      </c>
      <c r="E58" s="238">
        <v>0.84</v>
      </c>
      <c r="F58" s="238">
        <v>0.79</v>
      </c>
      <c r="G58" s="238">
        <v>0.59</v>
      </c>
      <c r="H58" s="301">
        <v>-999</v>
      </c>
      <c r="I58" s="237">
        <v>0.59</v>
      </c>
      <c r="J58" s="238">
        <v>0.48</v>
      </c>
      <c r="K58" s="319">
        <v>-999</v>
      </c>
      <c r="L58" s="319">
        <v>-999</v>
      </c>
      <c r="M58" s="239">
        <v>0.42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3:27" x14ac:dyDescent="0.25">
      <c r="C59" s="229" t="s">
        <v>724</v>
      </c>
      <c r="D59" s="259">
        <v>1.08</v>
      </c>
      <c r="E59" s="260">
        <v>0.85</v>
      </c>
      <c r="F59" s="260">
        <v>0.79</v>
      </c>
      <c r="G59" s="260">
        <v>0.59</v>
      </c>
      <c r="H59" s="299">
        <v>-999</v>
      </c>
      <c r="I59" s="259">
        <v>0.6</v>
      </c>
      <c r="J59" s="260">
        <v>0.49</v>
      </c>
      <c r="K59" s="318">
        <v>-999</v>
      </c>
      <c r="L59" s="318">
        <v>-999</v>
      </c>
      <c r="M59" s="261">
        <v>0.43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3:27" x14ac:dyDescent="0.25">
      <c r="C60" s="258" t="s">
        <v>725</v>
      </c>
      <c r="D60" s="234">
        <v>1.05</v>
      </c>
      <c r="E60" s="53">
        <v>0.82</v>
      </c>
      <c r="F60" s="53">
        <v>0.77</v>
      </c>
      <c r="G60" s="53">
        <v>0.56999999999999995</v>
      </c>
      <c r="H60" s="300">
        <v>-999</v>
      </c>
      <c r="I60" s="234">
        <v>0.56999999999999995</v>
      </c>
      <c r="J60" s="53">
        <v>0.46</v>
      </c>
      <c r="K60" s="317">
        <v>-999</v>
      </c>
      <c r="L60" s="317">
        <v>-999</v>
      </c>
      <c r="M60" s="236">
        <v>0.41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3:27" x14ac:dyDescent="0.25">
      <c r="C61" s="258" t="s">
        <v>726</v>
      </c>
      <c r="D61" s="234">
        <v>1.02</v>
      </c>
      <c r="E61" s="53">
        <v>0.79</v>
      </c>
      <c r="F61" s="53">
        <v>0.74</v>
      </c>
      <c r="G61" s="53">
        <v>0.54</v>
      </c>
      <c r="H61" s="300">
        <v>-999</v>
      </c>
      <c r="I61" s="234">
        <v>0.55000000000000004</v>
      </c>
      <c r="J61" s="53">
        <v>0.44</v>
      </c>
      <c r="K61" s="317">
        <v>-999</v>
      </c>
      <c r="L61" s="317">
        <v>-999</v>
      </c>
      <c r="M61" s="236">
        <v>0.38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3:27" x14ac:dyDescent="0.25">
      <c r="C62" s="262" t="s">
        <v>727</v>
      </c>
      <c r="D62" s="237">
        <v>1.01</v>
      </c>
      <c r="E62" s="238">
        <v>0.78</v>
      </c>
      <c r="F62" s="238">
        <v>0.73</v>
      </c>
      <c r="G62" s="238">
        <v>0.53</v>
      </c>
      <c r="H62" s="301">
        <v>-999</v>
      </c>
      <c r="I62" s="237">
        <v>0.54</v>
      </c>
      <c r="J62" s="238">
        <v>0.43</v>
      </c>
      <c r="K62" s="319">
        <v>-999</v>
      </c>
      <c r="L62" s="319">
        <v>-999</v>
      </c>
      <c r="M62" s="239">
        <v>0.37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3:27" x14ac:dyDescent="0.25">
      <c r="C63" s="229" t="s">
        <v>728</v>
      </c>
      <c r="D63" s="259">
        <v>1.03</v>
      </c>
      <c r="E63" s="260">
        <v>0.8</v>
      </c>
      <c r="F63" s="260">
        <v>0.75</v>
      </c>
      <c r="G63" s="260">
        <v>0.55000000000000004</v>
      </c>
      <c r="H63" s="299">
        <v>-999</v>
      </c>
      <c r="I63" s="259">
        <v>0.56000000000000005</v>
      </c>
      <c r="J63" s="260">
        <v>0.45</v>
      </c>
      <c r="K63" s="318">
        <v>-999</v>
      </c>
      <c r="L63" s="318">
        <v>-999</v>
      </c>
      <c r="M63" s="261">
        <v>0.39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3:27" x14ac:dyDescent="0.25">
      <c r="C64" s="258" t="s">
        <v>729</v>
      </c>
      <c r="D64" s="234">
        <v>1.01</v>
      </c>
      <c r="E64" s="53">
        <v>0.78</v>
      </c>
      <c r="F64" s="53">
        <v>0.73</v>
      </c>
      <c r="G64" s="53">
        <v>0.53</v>
      </c>
      <c r="H64" s="300">
        <v>-999</v>
      </c>
      <c r="I64" s="234">
        <v>0.54</v>
      </c>
      <c r="J64" s="53">
        <v>0.43</v>
      </c>
      <c r="K64" s="317">
        <v>-999</v>
      </c>
      <c r="L64" s="317">
        <v>-999</v>
      </c>
      <c r="M64" s="236">
        <v>0.37</v>
      </c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25">
      <c r="C65" s="258" t="s">
        <v>730</v>
      </c>
      <c r="D65" s="234">
        <v>0.99</v>
      </c>
      <c r="E65" s="53">
        <v>0.75</v>
      </c>
      <c r="F65" s="53">
        <v>0.7</v>
      </c>
      <c r="G65" s="53">
        <v>0.5</v>
      </c>
      <c r="H65" s="300">
        <v>-999</v>
      </c>
      <c r="I65" s="234">
        <v>0.51</v>
      </c>
      <c r="J65" s="53">
        <v>0.4</v>
      </c>
      <c r="K65" s="317">
        <v>-999</v>
      </c>
      <c r="L65" s="317">
        <v>-999</v>
      </c>
      <c r="M65" s="236">
        <v>0.35</v>
      </c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25">
      <c r="C66" s="262" t="s">
        <v>731</v>
      </c>
      <c r="D66" s="237">
        <v>0.97</v>
      </c>
      <c r="E66" s="238">
        <v>0.74</v>
      </c>
      <c r="F66" s="238">
        <v>0.69</v>
      </c>
      <c r="G66" s="238">
        <v>0.49</v>
      </c>
      <c r="H66" s="301">
        <v>-999</v>
      </c>
      <c r="I66" s="237">
        <v>0.5</v>
      </c>
      <c r="J66" s="238">
        <v>0.39</v>
      </c>
      <c r="K66" s="319">
        <v>-999</v>
      </c>
      <c r="L66" s="319">
        <v>-999</v>
      </c>
      <c r="M66" s="239">
        <v>0.33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25">
      <c r="C67" s="229" t="s">
        <v>732</v>
      </c>
      <c r="D67" s="259">
        <v>1.01</v>
      </c>
      <c r="E67" s="260">
        <v>0.78</v>
      </c>
      <c r="F67" s="260">
        <v>0.73</v>
      </c>
      <c r="G67" s="260">
        <v>0.53</v>
      </c>
      <c r="H67" s="299">
        <v>-999</v>
      </c>
      <c r="I67" s="259">
        <v>0.54</v>
      </c>
      <c r="J67" s="260">
        <v>0.43</v>
      </c>
      <c r="K67" s="318">
        <v>-999</v>
      </c>
      <c r="L67" s="318">
        <v>-999</v>
      </c>
      <c r="M67" s="261">
        <v>0.37</v>
      </c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25">
      <c r="C68" s="258" t="s">
        <v>733</v>
      </c>
      <c r="D68" s="234">
        <v>0.99</v>
      </c>
      <c r="E68" s="53">
        <v>0.76</v>
      </c>
      <c r="F68" s="53">
        <v>0.71</v>
      </c>
      <c r="G68" s="53">
        <v>0.51</v>
      </c>
      <c r="H68" s="300">
        <v>-999</v>
      </c>
      <c r="I68" s="234">
        <v>0.52</v>
      </c>
      <c r="J68" s="53">
        <v>0.41</v>
      </c>
      <c r="K68" s="317">
        <v>-999</v>
      </c>
      <c r="L68" s="317">
        <v>-999</v>
      </c>
      <c r="M68" s="236">
        <v>0.36</v>
      </c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25">
      <c r="C69" s="258" t="s">
        <v>734</v>
      </c>
      <c r="D69" s="234">
        <v>0.96</v>
      </c>
      <c r="E69" s="53">
        <v>0.73</v>
      </c>
      <c r="F69" s="53">
        <v>0.68</v>
      </c>
      <c r="G69" s="53">
        <v>0.48</v>
      </c>
      <c r="H69" s="300">
        <v>-999</v>
      </c>
      <c r="I69" s="234">
        <v>0.49</v>
      </c>
      <c r="J69" s="53">
        <v>0.38</v>
      </c>
      <c r="K69" s="317">
        <v>-999</v>
      </c>
      <c r="L69" s="317">
        <v>-999</v>
      </c>
      <c r="M69" s="236">
        <v>0.32</v>
      </c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25">
      <c r="C70" s="262" t="s">
        <v>735</v>
      </c>
      <c r="D70" s="237">
        <v>0.95</v>
      </c>
      <c r="E70" s="238">
        <v>0.72</v>
      </c>
      <c r="F70" s="238">
        <v>0.67</v>
      </c>
      <c r="G70" s="238">
        <v>0.47</v>
      </c>
      <c r="H70" s="301">
        <v>-999</v>
      </c>
      <c r="I70" s="237">
        <v>0.48</v>
      </c>
      <c r="J70" s="238">
        <v>0.37</v>
      </c>
      <c r="K70" s="319">
        <v>-999</v>
      </c>
      <c r="L70" s="319">
        <v>-999</v>
      </c>
      <c r="M70" s="239">
        <v>0.31</v>
      </c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25">
      <c r="C71" s="229" t="s">
        <v>736</v>
      </c>
      <c r="D71" s="259">
        <v>0.97</v>
      </c>
      <c r="E71" s="260">
        <v>0.74</v>
      </c>
      <c r="F71" s="260">
        <v>0.69</v>
      </c>
      <c r="G71" s="260">
        <v>0.49</v>
      </c>
      <c r="H71" s="299">
        <v>-999</v>
      </c>
      <c r="I71" s="259">
        <v>0.5</v>
      </c>
      <c r="J71" s="260">
        <v>0.39</v>
      </c>
      <c r="K71" s="318">
        <v>-999</v>
      </c>
      <c r="L71" s="318">
        <v>-999</v>
      </c>
      <c r="M71" s="261">
        <v>0.33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25">
      <c r="C72" s="258" t="s">
        <v>737</v>
      </c>
      <c r="D72" s="234">
        <v>0.94</v>
      </c>
      <c r="E72" s="53">
        <v>0.71</v>
      </c>
      <c r="F72" s="53">
        <v>0.66</v>
      </c>
      <c r="G72" s="53">
        <v>0.46</v>
      </c>
      <c r="H72" s="300">
        <v>-999</v>
      </c>
      <c r="I72" s="234">
        <v>0.47</v>
      </c>
      <c r="J72" s="53">
        <v>0.36</v>
      </c>
      <c r="K72" s="317">
        <v>-999</v>
      </c>
      <c r="L72" s="317">
        <v>-999</v>
      </c>
      <c r="M72" s="236">
        <v>0.3</v>
      </c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25">
      <c r="C73" s="258" t="s">
        <v>738</v>
      </c>
      <c r="D73" s="234">
        <v>0.93</v>
      </c>
      <c r="E73" s="53">
        <v>0.7</v>
      </c>
      <c r="F73" s="53">
        <v>0.65</v>
      </c>
      <c r="G73" s="53">
        <v>0.45</v>
      </c>
      <c r="H73" s="300">
        <v>-999</v>
      </c>
      <c r="I73" s="234">
        <v>0.46</v>
      </c>
      <c r="J73" s="53">
        <v>0.35</v>
      </c>
      <c r="K73" s="317">
        <v>-999</v>
      </c>
      <c r="L73" s="317">
        <v>-999</v>
      </c>
      <c r="M73" s="236">
        <v>0.3</v>
      </c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25">
      <c r="C74" s="262" t="s">
        <v>739</v>
      </c>
      <c r="D74" s="237">
        <v>0.91</v>
      </c>
      <c r="E74" s="238">
        <v>0.68</v>
      </c>
      <c r="F74" s="238">
        <v>0.63</v>
      </c>
      <c r="G74" s="238">
        <v>0.43</v>
      </c>
      <c r="H74" s="301">
        <v>-999</v>
      </c>
      <c r="I74" s="237">
        <v>0.44</v>
      </c>
      <c r="J74" s="238">
        <v>0.33</v>
      </c>
      <c r="K74" s="319">
        <v>-999</v>
      </c>
      <c r="L74" s="319">
        <v>-999</v>
      </c>
      <c r="M74" s="239">
        <v>0.28000000000000003</v>
      </c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25">
      <c r="C75" s="182" t="s">
        <v>740</v>
      </c>
      <c r="D75" s="254">
        <v>0.88</v>
      </c>
      <c r="E75" s="255">
        <v>0.65</v>
      </c>
      <c r="F75" s="255">
        <v>0.6</v>
      </c>
      <c r="G75" s="255">
        <v>0.4</v>
      </c>
      <c r="H75" s="322">
        <v>-999</v>
      </c>
      <c r="I75" s="254">
        <v>0.42</v>
      </c>
      <c r="J75" s="255">
        <v>0.31</v>
      </c>
      <c r="K75" s="320">
        <v>-999</v>
      </c>
      <c r="L75" s="320">
        <v>-999</v>
      </c>
      <c r="M75" s="256">
        <v>0.25</v>
      </c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25">
      <c r="B76" s="138" t="s">
        <v>245</v>
      </c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25">
      <c r="A77" s="138" t="s">
        <v>250</v>
      </c>
      <c r="C77" s="323" t="s">
        <v>785</v>
      </c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25"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25"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25"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3:27" x14ac:dyDescent="0.25"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3:27" x14ac:dyDescent="0.25"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3:27" x14ac:dyDescent="0.25"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92D050"/>
  </sheetPr>
  <dimension ref="A1:AB137"/>
  <sheetViews>
    <sheetView zoomScale="70" zoomScaleNormal="70" workbookViewId="0">
      <selection activeCell="C83" sqref="C83:C136"/>
    </sheetView>
  </sheetViews>
  <sheetFormatPr defaultRowHeight="15" x14ac:dyDescent="0.25"/>
  <cols>
    <col min="1" max="1" width="2.28515625" style="138" customWidth="1"/>
    <col min="2" max="2" width="5.42578125" style="138" customWidth="1"/>
    <col min="3" max="3" width="23.42578125" style="138" customWidth="1"/>
    <col min="4" max="4" width="77.5703125" style="138" customWidth="1"/>
    <col min="5" max="6" width="31.5703125" style="138" bestFit="1" customWidth="1"/>
    <col min="7" max="8" width="28.28515625" style="138" bestFit="1" customWidth="1"/>
    <col min="9" max="10" width="37.42578125" style="138" bestFit="1" customWidth="1"/>
    <col min="11" max="12" width="25.7109375" style="138" customWidth="1"/>
    <col min="13" max="14" width="22.85546875" style="138" bestFit="1" customWidth="1"/>
    <col min="15" max="15" width="14.140625" style="138" bestFit="1" customWidth="1"/>
    <col min="16" max="16" width="9.140625" style="138"/>
    <col min="17" max="17" width="46.85546875" style="138" bestFit="1" customWidth="1"/>
    <col min="18" max="16384" width="9.140625" style="138"/>
  </cols>
  <sheetData>
    <row r="1" spans="1:5" x14ac:dyDescent="0.25">
      <c r="A1" s="138" t="s">
        <v>250</v>
      </c>
      <c r="B1" s="138" t="s">
        <v>673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357</v>
      </c>
    </row>
    <row r="4" spans="1:5" x14ac:dyDescent="0.25">
      <c r="A4" s="138" t="s">
        <v>250</v>
      </c>
      <c r="C4" s="6" t="s">
        <v>775</v>
      </c>
      <c r="D4" s="146"/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358</v>
      </c>
    </row>
    <row r="7" spans="1:5" x14ac:dyDescent="0.25">
      <c r="A7" s="138" t="s">
        <v>250</v>
      </c>
      <c r="C7" s="138" t="s">
        <v>263</v>
      </c>
      <c r="D7" s="138" t="s">
        <v>265</v>
      </c>
    </row>
    <row r="8" spans="1:5" x14ac:dyDescent="0.25">
      <c r="A8" s="138" t="s">
        <v>250</v>
      </c>
      <c r="B8" s="141"/>
      <c r="C8" s="144">
        <v>41904</v>
      </c>
      <c r="D8" s="138" t="s">
        <v>678</v>
      </c>
    </row>
    <row r="9" spans="1:5" x14ac:dyDescent="0.25">
      <c r="A9" s="138" t="s">
        <v>250</v>
      </c>
      <c r="B9" s="141"/>
      <c r="C9" s="144"/>
      <c r="D9" s="144"/>
      <c r="E9" s="145"/>
    </row>
    <row r="10" spans="1:5" x14ac:dyDescent="0.25">
      <c r="A10" s="138" t="s">
        <v>250</v>
      </c>
      <c r="B10" s="141"/>
      <c r="C10" s="144"/>
      <c r="D10" s="144"/>
      <c r="E10" s="145"/>
    </row>
    <row r="11" spans="1:5" x14ac:dyDescent="0.25">
      <c r="A11" s="138" t="s">
        <v>250</v>
      </c>
      <c r="B11" s="141"/>
      <c r="C11" s="144"/>
      <c r="D11" s="144"/>
    </row>
    <row r="12" spans="1:5" x14ac:dyDescent="0.25">
      <c r="A12" s="138" t="s">
        <v>250</v>
      </c>
      <c r="B12" s="138" t="s">
        <v>690</v>
      </c>
    </row>
    <row r="13" spans="1:5" x14ac:dyDescent="0.25">
      <c r="A13" s="138" t="s">
        <v>250</v>
      </c>
    </row>
    <row r="14" spans="1:5" x14ac:dyDescent="0.25">
      <c r="A14" s="138" t="s">
        <v>250</v>
      </c>
    </row>
    <row r="15" spans="1:5" x14ac:dyDescent="0.25">
      <c r="A15" s="138" t="s">
        <v>250</v>
      </c>
      <c r="B15" s="138" t="s">
        <v>251</v>
      </c>
    </row>
    <row r="16" spans="1:5" x14ac:dyDescent="0.25">
      <c r="A16" s="138" t="s">
        <v>250</v>
      </c>
    </row>
    <row r="17" spans="1:28" x14ac:dyDescent="0.25">
      <c r="A17" s="138" t="s">
        <v>250</v>
      </c>
    </row>
    <row r="18" spans="1:28" x14ac:dyDescent="0.25">
      <c r="A18" s="138" t="s">
        <v>250</v>
      </c>
      <c r="B18" s="138" t="s">
        <v>273</v>
      </c>
      <c r="F18" s="138" t="s">
        <v>706</v>
      </c>
    </row>
    <row r="19" spans="1:28" x14ac:dyDescent="0.25">
      <c r="A19" s="138" t="s">
        <v>250</v>
      </c>
      <c r="C19" s="138" t="s">
        <v>776</v>
      </c>
      <c r="D19" s="146"/>
      <c r="F19" s="138">
        <f>MATCH(F18,D27:D135,0)</f>
        <v>15</v>
      </c>
    </row>
    <row r="20" spans="1:28" x14ac:dyDescent="0.25">
      <c r="A20" s="138" t="s">
        <v>250</v>
      </c>
      <c r="F20" s="138" t="s">
        <v>779</v>
      </c>
    </row>
    <row r="21" spans="1:28" x14ac:dyDescent="0.25">
      <c r="A21" s="138" t="s">
        <v>250</v>
      </c>
      <c r="F21" s="138" t="b">
        <f>F20=G26</f>
        <v>1</v>
      </c>
    </row>
    <row r="22" spans="1:28" x14ac:dyDescent="0.25">
      <c r="A22" s="138" t="s">
        <v>250</v>
      </c>
      <c r="M22" s="138" t="s">
        <v>784</v>
      </c>
    </row>
    <row r="23" spans="1:28" x14ac:dyDescent="0.25">
      <c r="A23" s="138" t="s">
        <v>366</v>
      </c>
    </row>
    <row r="24" spans="1:28" x14ac:dyDescent="0.25">
      <c r="B24" s="4" t="s">
        <v>774</v>
      </c>
      <c r="C24" s="140"/>
      <c r="D24" s="140"/>
    </row>
    <row r="25" spans="1:28" x14ac:dyDescent="0.25">
      <c r="C25" s="180" t="s">
        <v>482</v>
      </c>
      <c r="D25" s="180" t="s">
        <v>760</v>
      </c>
      <c r="E25" s="180" t="s">
        <v>209</v>
      </c>
      <c r="F25" s="205" t="s">
        <v>241</v>
      </c>
      <c r="G25" s="205" t="s">
        <v>209</v>
      </c>
      <c r="H25" s="205" t="s">
        <v>241</v>
      </c>
      <c r="I25" s="205" t="s">
        <v>209</v>
      </c>
      <c r="J25" s="232" t="s">
        <v>241</v>
      </c>
      <c r="K25" s="205" t="s">
        <v>209</v>
      </c>
      <c r="L25" s="232" t="s">
        <v>241</v>
      </c>
      <c r="M25" s="205" t="s">
        <v>209</v>
      </c>
      <c r="N25" s="232" t="s">
        <v>241</v>
      </c>
      <c r="O25" s="52"/>
      <c r="P25" s="268" t="s">
        <v>250</v>
      </c>
      <c r="Q25" s="264" t="s">
        <v>741</v>
      </c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</row>
    <row r="26" spans="1:28" ht="15.75" thickBot="1" x14ac:dyDescent="0.3">
      <c r="C26" s="212" t="s">
        <v>764</v>
      </c>
      <c r="D26" s="167"/>
      <c r="E26" s="167" t="s">
        <v>780</v>
      </c>
      <c r="F26" s="159" t="s">
        <v>780</v>
      </c>
      <c r="G26" s="159" t="s">
        <v>779</v>
      </c>
      <c r="H26" s="159" t="s">
        <v>779</v>
      </c>
      <c r="I26" s="159" t="s">
        <v>781</v>
      </c>
      <c r="J26" s="257" t="s">
        <v>781</v>
      </c>
      <c r="K26" s="159" t="s">
        <v>782</v>
      </c>
      <c r="L26" s="257" t="s">
        <v>782</v>
      </c>
      <c r="M26" s="159" t="s">
        <v>783</v>
      </c>
      <c r="N26" s="257" t="s">
        <v>783</v>
      </c>
      <c r="O26" s="52"/>
      <c r="P26" s="268" t="s">
        <v>250</v>
      </c>
      <c r="Q26" s="265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</row>
    <row r="27" spans="1:28" ht="15.75" thickTop="1" x14ac:dyDescent="0.25">
      <c r="C27" s="258" t="s">
        <v>483</v>
      </c>
      <c r="D27" s="258" t="s">
        <v>693</v>
      </c>
      <c r="E27" s="234">
        <v>0.82</v>
      </c>
      <c r="F27" s="53">
        <v>0.76</v>
      </c>
      <c r="G27" s="53">
        <v>0.78</v>
      </c>
      <c r="H27" s="53">
        <v>0.76</v>
      </c>
      <c r="I27" s="235">
        <v>0.73</v>
      </c>
      <c r="J27" s="236">
        <v>0.73</v>
      </c>
      <c r="K27" s="235">
        <v>0.73</v>
      </c>
      <c r="L27" s="236">
        <v>0.73</v>
      </c>
      <c r="M27" s="234">
        <v>0.82</v>
      </c>
      <c r="N27" s="53">
        <v>0.76</v>
      </c>
      <c r="O27" s="52"/>
      <c r="P27" s="268" t="s">
        <v>250</v>
      </c>
      <c r="Q27" s="276" t="s">
        <v>742</v>
      </c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</row>
    <row r="28" spans="1:28" x14ac:dyDescent="0.25">
      <c r="A28" s="138" t="s">
        <v>250</v>
      </c>
      <c r="C28" s="258" t="s">
        <v>483</v>
      </c>
      <c r="D28" s="270"/>
      <c r="E28" s="234">
        <v>0.78</v>
      </c>
      <c r="F28" s="53">
        <v>0.75</v>
      </c>
      <c r="G28" s="53">
        <v>0.74</v>
      </c>
      <c r="H28" s="53">
        <v>0.75</v>
      </c>
      <c r="I28" s="235">
        <v>0.69</v>
      </c>
      <c r="J28" s="236">
        <v>0.72</v>
      </c>
      <c r="K28" s="235">
        <v>0.69</v>
      </c>
      <c r="L28" s="236">
        <v>0.72</v>
      </c>
      <c r="M28" s="234">
        <v>0.78</v>
      </c>
      <c r="N28" s="53">
        <v>0.75</v>
      </c>
      <c r="O28" s="52"/>
      <c r="P28" s="268" t="s">
        <v>250</v>
      </c>
      <c r="Q28" s="277" t="s">
        <v>743</v>
      </c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</row>
    <row r="29" spans="1:28" x14ac:dyDescent="0.25">
      <c r="C29" s="258" t="s">
        <v>483</v>
      </c>
      <c r="D29" s="258" t="s">
        <v>694</v>
      </c>
      <c r="E29" s="234">
        <v>0.83</v>
      </c>
      <c r="F29" s="53">
        <v>0.92</v>
      </c>
      <c r="G29" s="53">
        <v>0.83</v>
      </c>
      <c r="H29" s="53">
        <v>0.92</v>
      </c>
      <c r="I29" s="53">
        <v>0.83</v>
      </c>
      <c r="J29" s="236">
        <v>0.92</v>
      </c>
      <c r="K29" s="53">
        <v>0.83</v>
      </c>
      <c r="L29" s="236">
        <v>0.92</v>
      </c>
      <c r="M29" s="234">
        <v>0.83</v>
      </c>
      <c r="N29" s="53">
        <v>0.92</v>
      </c>
      <c r="O29" s="52"/>
      <c r="P29" s="268" t="s">
        <v>250</v>
      </c>
      <c r="Q29" s="276" t="s">
        <v>744</v>
      </c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</row>
    <row r="30" spans="1:28" x14ac:dyDescent="0.25">
      <c r="C30" s="258" t="s">
        <v>483</v>
      </c>
      <c r="D30" s="258" t="s">
        <v>695</v>
      </c>
      <c r="E30" s="234">
        <v>0.83</v>
      </c>
      <c r="F30" s="53">
        <v>0.92</v>
      </c>
      <c r="G30" s="53">
        <v>0.83</v>
      </c>
      <c r="H30" s="53">
        <v>0.92</v>
      </c>
      <c r="I30" s="53">
        <v>0.83</v>
      </c>
      <c r="J30" s="236">
        <v>0.92</v>
      </c>
      <c r="K30" s="53">
        <v>0.83</v>
      </c>
      <c r="L30" s="236">
        <v>0.92</v>
      </c>
      <c r="M30" s="234">
        <v>0.83</v>
      </c>
      <c r="N30" s="53">
        <v>0.92</v>
      </c>
      <c r="O30" s="52"/>
      <c r="P30" s="268" t="s">
        <v>250</v>
      </c>
      <c r="Q30" s="276" t="s">
        <v>744</v>
      </c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</row>
    <row r="31" spans="1:28" x14ac:dyDescent="0.25">
      <c r="C31" s="229" t="s">
        <v>483</v>
      </c>
      <c r="D31" s="229" t="s">
        <v>696</v>
      </c>
      <c r="E31" s="259">
        <v>0.68</v>
      </c>
      <c r="F31" s="260">
        <v>0.66</v>
      </c>
      <c r="G31" s="260">
        <v>0.64</v>
      </c>
      <c r="H31" s="260">
        <v>0.66</v>
      </c>
      <c r="I31" s="260">
        <v>0.59</v>
      </c>
      <c r="J31" s="261">
        <v>0.64</v>
      </c>
      <c r="K31" s="260">
        <v>0.59</v>
      </c>
      <c r="L31" s="261">
        <v>0.64</v>
      </c>
      <c r="M31" s="259">
        <v>0.68</v>
      </c>
      <c r="N31" s="260">
        <v>0.66</v>
      </c>
      <c r="O31" s="52"/>
      <c r="P31" s="268" t="s">
        <v>250</v>
      </c>
      <c r="Q31" s="278" t="s">
        <v>745</v>
      </c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</row>
    <row r="32" spans="1:28" x14ac:dyDescent="0.25">
      <c r="C32" s="258" t="s">
        <v>483</v>
      </c>
      <c r="D32" s="258" t="s">
        <v>697</v>
      </c>
      <c r="E32" s="234">
        <v>0.68</v>
      </c>
      <c r="F32" s="53">
        <v>0.66</v>
      </c>
      <c r="G32" s="53">
        <v>0.64</v>
      </c>
      <c r="H32" s="53">
        <v>0.66</v>
      </c>
      <c r="I32" s="53">
        <v>0.59</v>
      </c>
      <c r="J32" s="236">
        <v>0.64</v>
      </c>
      <c r="K32" s="53">
        <v>0.59</v>
      </c>
      <c r="L32" s="236">
        <v>0.64</v>
      </c>
      <c r="M32" s="234">
        <v>0.68</v>
      </c>
      <c r="N32" s="53">
        <v>0.66</v>
      </c>
      <c r="O32" s="52"/>
      <c r="P32" s="268" t="s">
        <v>250</v>
      </c>
      <c r="Q32" s="276" t="s">
        <v>745</v>
      </c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</row>
    <row r="33" spans="3:28" x14ac:dyDescent="0.25">
      <c r="C33" s="258" t="s">
        <v>483</v>
      </c>
      <c r="D33" s="258" t="s">
        <v>698</v>
      </c>
      <c r="E33" s="234">
        <v>0.68</v>
      </c>
      <c r="F33" s="53">
        <v>0.66</v>
      </c>
      <c r="G33" s="53">
        <v>0.64</v>
      </c>
      <c r="H33" s="53">
        <v>0.66</v>
      </c>
      <c r="I33" s="53">
        <v>0.59</v>
      </c>
      <c r="J33" s="236">
        <v>0.64</v>
      </c>
      <c r="K33" s="53">
        <v>0.59</v>
      </c>
      <c r="L33" s="236">
        <v>0.64</v>
      </c>
      <c r="M33" s="234">
        <v>0.68</v>
      </c>
      <c r="N33" s="53">
        <v>0.66</v>
      </c>
      <c r="O33" s="52"/>
      <c r="P33" s="268" t="s">
        <v>250</v>
      </c>
      <c r="Q33" s="276" t="s">
        <v>745</v>
      </c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</row>
    <row r="34" spans="3:28" x14ac:dyDescent="0.25">
      <c r="C34" s="262" t="s">
        <v>483</v>
      </c>
      <c r="D34" s="262" t="s">
        <v>699</v>
      </c>
      <c r="E34" s="237">
        <v>0.68</v>
      </c>
      <c r="F34" s="238">
        <v>0.66</v>
      </c>
      <c r="G34" s="238">
        <v>0.64</v>
      </c>
      <c r="H34" s="238">
        <v>0.66</v>
      </c>
      <c r="I34" s="238">
        <v>0.59</v>
      </c>
      <c r="J34" s="239">
        <v>0.64</v>
      </c>
      <c r="K34" s="238">
        <v>0.59</v>
      </c>
      <c r="L34" s="239">
        <v>0.64</v>
      </c>
      <c r="M34" s="237">
        <v>0.68</v>
      </c>
      <c r="N34" s="238">
        <v>0.66</v>
      </c>
      <c r="O34" s="52"/>
      <c r="P34" s="268" t="s">
        <v>250</v>
      </c>
      <c r="Q34" s="279" t="s">
        <v>745</v>
      </c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</row>
    <row r="35" spans="3:28" x14ac:dyDescent="0.25">
      <c r="C35" s="258" t="s">
        <v>483</v>
      </c>
      <c r="D35" s="269" t="s">
        <v>700</v>
      </c>
      <c r="E35" s="234">
        <v>0.68</v>
      </c>
      <c r="F35" s="53">
        <v>0.66</v>
      </c>
      <c r="G35" s="53">
        <v>0.64</v>
      </c>
      <c r="H35" s="53">
        <v>0.66</v>
      </c>
      <c r="I35" s="53">
        <v>0.59</v>
      </c>
      <c r="J35" s="236">
        <v>0.64</v>
      </c>
      <c r="K35" s="53">
        <v>0.59</v>
      </c>
      <c r="L35" s="236">
        <v>0.64</v>
      </c>
      <c r="M35" s="234">
        <v>0.68</v>
      </c>
      <c r="N35" s="53">
        <v>0.66</v>
      </c>
      <c r="O35" s="52"/>
      <c r="P35" s="268" t="s">
        <v>250</v>
      </c>
      <c r="Q35" s="272" t="s">
        <v>745</v>
      </c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</row>
    <row r="36" spans="3:28" x14ac:dyDescent="0.25">
      <c r="C36" s="258" t="s">
        <v>483</v>
      </c>
      <c r="D36" s="269" t="s">
        <v>701</v>
      </c>
      <c r="E36" s="234">
        <v>0.68</v>
      </c>
      <c r="F36" s="53">
        <v>0.66</v>
      </c>
      <c r="G36" s="53">
        <v>0.64</v>
      </c>
      <c r="H36" s="53">
        <v>0.66</v>
      </c>
      <c r="I36" s="53">
        <v>0.59</v>
      </c>
      <c r="J36" s="236">
        <v>0.64</v>
      </c>
      <c r="K36" s="53">
        <v>0.59</v>
      </c>
      <c r="L36" s="236">
        <v>0.64</v>
      </c>
      <c r="M36" s="234">
        <v>0.68</v>
      </c>
      <c r="N36" s="53">
        <v>0.66</v>
      </c>
      <c r="O36" s="52"/>
      <c r="P36" s="268" t="s">
        <v>250</v>
      </c>
      <c r="Q36" s="272" t="s">
        <v>745</v>
      </c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</row>
    <row r="37" spans="3:28" x14ac:dyDescent="0.25">
      <c r="C37" s="258" t="s">
        <v>483</v>
      </c>
      <c r="D37" s="269" t="s">
        <v>702</v>
      </c>
      <c r="E37" s="234">
        <v>0.68</v>
      </c>
      <c r="F37" s="53">
        <v>0.66</v>
      </c>
      <c r="G37" s="53">
        <v>0.64</v>
      </c>
      <c r="H37" s="53">
        <v>0.66</v>
      </c>
      <c r="I37" s="53">
        <v>0.59</v>
      </c>
      <c r="J37" s="236">
        <v>0.64</v>
      </c>
      <c r="K37" s="53">
        <v>0.59</v>
      </c>
      <c r="L37" s="236">
        <v>0.64</v>
      </c>
      <c r="M37" s="234">
        <v>0.68</v>
      </c>
      <c r="N37" s="53">
        <v>0.66</v>
      </c>
      <c r="O37" s="52"/>
      <c r="P37" s="268" t="s">
        <v>250</v>
      </c>
      <c r="Q37" s="272" t="s">
        <v>745</v>
      </c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</row>
    <row r="38" spans="3:28" x14ac:dyDescent="0.25">
      <c r="C38" s="258" t="s">
        <v>483</v>
      </c>
      <c r="D38" s="269" t="s">
        <v>703</v>
      </c>
      <c r="E38" s="234">
        <v>0.68</v>
      </c>
      <c r="F38" s="53">
        <v>0.66</v>
      </c>
      <c r="G38" s="53">
        <v>0.64</v>
      </c>
      <c r="H38" s="53">
        <v>0.66</v>
      </c>
      <c r="I38" s="53">
        <v>0.59</v>
      </c>
      <c r="J38" s="236">
        <v>0.64</v>
      </c>
      <c r="K38" s="53">
        <v>0.59</v>
      </c>
      <c r="L38" s="236">
        <v>0.64</v>
      </c>
      <c r="M38" s="234">
        <v>0.68</v>
      </c>
      <c r="N38" s="53">
        <v>0.66</v>
      </c>
      <c r="O38" s="52"/>
      <c r="P38" s="268" t="s">
        <v>250</v>
      </c>
      <c r="Q38" s="272" t="s">
        <v>745</v>
      </c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</row>
    <row r="39" spans="3:28" x14ac:dyDescent="0.25">
      <c r="C39" s="229" t="s">
        <v>483</v>
      </c>
      <c r="D39" s="229" t="s">
        <v>704</v>
      </c>
      <c r="E39" s="259">
        <v>0.71</v>
      </c>
      <c r="F39" s="260">
        <v>0.65</v>
      </c>
      <c r="G39" s="260">
        <v>0.67</v>
      </c>
      <c r="H39" s="260">
        <v>0.65</v>
      </c>
      <c r="I39" s="260">
        <v>0.62</v>
      </c>
      <c r="J39" s="261">
        <v>0.63</v>
      </c>
      <c r="K39" s="260">
        <v>0.62</v>
      </c>
      <c r="L39" s="261">
        <v>0.63</v>
      </c>
      <c r="M39" s="259">
        <v>0.71</v>
      </c>
      <c r="N39" s="260">
        <v>0.65</v>
      </c>
      <c r="O39" s="52"/>
      <c r="P39" s="268" t="s">
        <v>250</v>
      </c>
      <c r="Q39" s="278" t="s">
        <v>746</v>
      </c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</row>
    <row r="40" spans="3:28" x14ac:dyDescent="0.25">
      <c r="C40" s="258" t="s">
        <v>483</v>
      </c>
      <c r="D40" s="258" t="s">
        <v>705</v>
      </c>
      <c r="E40" s="234">
        <v>0.71</v>
      </c>
      <c r="F40" s="53">
        <v>0.65</v>
      </c>
      <c r="G40" s="53">
        <v>0.67</v>
      </c>
      <c r="H40" s="53">
        <v>0.65</v>
      </c>
      <c r="I40" s="53">
        <v>0.62</v>
      </c>
      <c r="J40" s="236">
        <v>0.63</v>
      </c>
      <c r="K40" s="53">
        <v>0.62</v>
      </c>
      <c r="L40" s="236">
        <v>0.63</v>
      </c>
      <c r="M40" s="234">
        <v>0.71</v>
      </c>
      <c r="N40" s="53">
        <v>0.65</v>
      </c>
      <c r="O40" s="52"/>
      <c r="P40" s="268" t="s">
        <v>250</v>
      </c>
      <c r="Q40" s="276" t="s">
        <v>746</v>
      </c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</row>
    <row r="41" spans="3:28" x14ac:dyDescent="0.25">
      <c r="C41" s="258" t="s">
        <v>483</v>
      </c>
      <c r="D41" s="258" t="s">
        <v>706</v>
      </c>
      <c r="E41" s="234">
        <v>0.71</v>
      </c>
      <c r="F41" s="53">
        <v>0.65</v>
      </c>
      <c r="G41" s="53">
        <v>0.67</v>
      </c>
      <c r="H41" s="53">
        <v>0.65</v>
      </c>
      <c r="I41" s="53">
        <v>0.62</v>
      </c>
      <c r="J41" s="236">
        <v>0.63</v>
      </c>
      <c r="K41" s="53">
        <v>0.62</v>
      </c>
      <c r="L41" s="236">
        <v>0.63</v>
      </c>
      <c r="M41" s="234">
        <v>0.71</v>
      </c>
      <c r="N41" s="53">
        <v>0.65</v>
      </c>
      <c r="O41" s="52"/>
      <c r="P41" s="268" t="s">
        <v>250</v>
      </c>
      <c r="Q41" s="276" t="s">
        <v>746</v>
      </c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</row>
    <row r="42" spans="3:28" x14ac:dyDescent="0.25">
      <c r="C42" s="262" t="s">
        <v>483</v>
      </c>
      <c r="D42" s="262" t="s">
        <v>707</v>
      </c>
      <c r="E42" s="237">
        <v>0.71</v>
      </c>
      <c r="F42" s="238">
        <v>0.65</v>
      </c>
      <c r="G42" s="238">
        <v>0.67</v>
      </c>
      <c r="H42" s="238">
        <v>0.65</v>
      </c>
      <c r="I42" s="238">
        <v>0.62</v>
      </c>
      <c r="J42" s="239">
        <v>0.63</v>
      </c>
      <c r="K42" s="238">
        <v>0.62</v>
      </c>
      <c r="L42" s="239">
        <v>0.63</v>
      </c>
      <c r="M42" s="237">
        <v>0.71</v>
      </c>
      <c r="N42" s="238">
        <v>0.65</v>
      </c>
      <c r="O42" s="52"/>
      <c r="P42" s="268" t="s">
        <v>250</v>
      </c>
      <c r="Q42" s="279" t="s">
        <v>746</v>
      </c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</row>
    <row r="43" spans="3:28" x14ac:dyDescent="0.25">
      <c r="C43" s="229" t="s">
        <v>483</v>
      </c>
      <c r="D43" s="258" t="s">
        <v>708</v>
      </c>
      <c r="E43" s="259">
        <v>0.66</v>
      </c>
      <c r="F43" s="260">
        <v>0.61</v>
      </c>
      <c r="G43" s="260">
        <v>0.62</v>
      </c>
      <c r="H43" s="260">
        <v>0.61</v>
      </c>
      <c r="I43" s="260">
        <v>0.56999999999999995</v>
      </c>
      <c r="J43" s="261">
        <v>0.59</v>
      </c>
      <c r="K43" s="260">
        <v>0.56999999999999995</v>
      </c>
      <c r="L43" s="261">
        <v>0.59</v>
      </c>
      <c r="M43" s="259">
        <v>0.66</v>
      </c>
      <c r="N43" s="260">
        <v>0.61</v>
      </c>
      <c r="O43" s="52"/>
      <c r="P43" s="268" t="s">
        <v>250</v>
      </c>
      <c r="Q43" s="278" t="s">
        <v>747</v>
      </c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</row>
    <row r="44" spans="3:28" x14ac:dyDescent="0.25">
      <c r="C44" s="258" t="s">
        <v>483</v>
      </c>
      <c r="D44" s="258" t="s">
        <v>709</v>
      </c>
      <c r="E44" s="234">
        <v>0.66</v>
      </c>
      <c r="F44" s="53">
        <v>0.61</v>
      </c>
      <c r="G44" s="53">
        <v>0.62</v>
      </c>
      <c r="H44" s="53">
        <v>0.61</v>
      </c>
      <c r="I44" s="53">
        <v>0.56999999999999995</v>
      </c>
      <c r="J44" s="236">
        <v>0.59</v>
      </c>
      <c r="K44" s="53">
        <v>0.56999999999999995</v>
      </c>
      <c r="L44" s="236">
        <v>0.59</v>
      </c>
      <c r="M44" s="234">
        <v>0.66</v>
      </c>
      <c r="N44" s="53">
        <v>0.61</v>
      </c>
      <c r="O44" s="52"/>
      <c r="P44" s="268" t="s">
        <v>250</v>
      </c>
      <c r="Q44" s="276" t="s">
        <v>747</v>
      </c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</row>
    <row r="45" spans="3:28" x14ac:dyDescent="0.25">
      <c r="C45" s="258" t="s">
        <v>483</v>
      </c>
      <c r="D45" s="258" t="s">
        <v>710</v>
      </c>
      <c r="E45" s="234">
        <v>0.66</v>
      </c>
      <c r="F45" s="53">
        <v>0.61</v>
      </c>
      <c r="G45" s="53">
        <v>0.62</v>
      </c>
      <c r="H45" s="53">
        <v>0.61</v>
      </c>
      <c r="I45" s="53">
        <v>0.56999999999999995</v>
      </c>
      <c r="J45" s="236">
        <v>0.59</v>
      </c>
      <c r="K45" s="53">
        <v>0.56999999999999995</v>
      </c>
      <c r="L45" s="236">
        <v>0.59</v>
      </c>
      <c r="M45" s="234">
        <v>0.66</v>
      </c>
      <c r="N45" s="53">
        <v>0.61</v>
      </c>
      <c r="O45" s="52"/>
      <c r="P45" s="268" t="s">
        <v>250</v>
      </c>
      <c r="Q45" s="276" t="s">
        <v>747</v>
      </c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</row>
    <row r="46" spans="3:28" x14ac:dyDescent="0.25">
      <c r="C46" s="262" t="s">
        <v>483</v>
      </c>
      <c r="D46" s="262" t="s">
        <v>711</v>
      </c>
      <c r="E46" s="237">
        <v>0.66</v>
      </c>
      <c r="F46" s="238">
        <v>0.61</v>
      </c>
      <c r="G46" s="238">
        <v>0.62</v>
      </c>
      <c r="H46" s="238">
        <v>0.61</v>
      </c>
      <c r="I46" s="238">
        <v>0.56999999999999995</v>
      </c>
      <c r="J46" s="239">
        <v>0.59</v>
      </c>
      <c r="K46" s="238">
        <v>0.56999999999999995</v>
      </c>
      <c r="L46" s="239">
        <v>0.59</v>
      </c>
      <c r="M46" s="237">
        <v>0.66</v>
      </c>
      <c r="N46" s="238">
        <v>0.61</v>
      </c>
      <c r="O46" s="52"/>
      <c r="P46" s="268" t="s">
        <v>250</v>
      </c>
      <c r="Q46" s="279" t="s">
        <v>747</v>
      </c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</row>
    <row r="47" spans="3:28" x14ac:dyDescent="0.25">
      <c r="C47" s="229" t="s">
        <v>483</v>
      </c>
      <c r="D47" s="258" t="s">
        <v>712</v>
      </c>
      <c r="E47" s="259">
        <v>0.59</v>
      </c>
      <c r="F47" s="260">
        <v>0.63</v>
      </c>
      <c r="G47" s="260">
        <v>0.55000000000000004</v>
      </c>
      <c r="H47" s="260">
        <v>0.63</v>
      </c>
      <c r="I47" s="260">
        <v>0.51</v>
      </c>
      <c r="J47" s="261">
        <v>0.61</v>
      </c>
      <c r="K47" s="260">
        <v>0.51</v>
      </c>
      <c r="L47" s="261">
        <v>0.61</v>
      </c>
      <c r="M47" s="259">
        <v>0.59</v>
      </c>
      <c r="N47" s="260">
        <v>0.63</v>
      </c>
      <c r="O47" s="52"/>
      <c r="P47" s="268" t="s">
        <v>250</v>
      </c>
      <c r="Q47" s="278" t="s">
        <v>748</v>
      </c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</row>
    <row r="48" spans="3:28" x14ac:dyDescent="0.25">
      <c r="C48" s="258" t="s">
        <v>483</v>
      </c>
      <c r="D48" s="258" t="s">
        <v>713</v>
      </c>
      <c r="E48" s="234">
        <v>0.59</v>
      </c>
      <c r="F48" s="53">
        <v>0.63</v>
      </c>
      <c r="G48" s="53">
        <v>0.55000000000000004</v>
      </c>
      <c r="H48" s="53">
        <v>0.63</v>
      </c>
      <c r="I48" s="53">
        <v>0.51</v>
      </c>
      <c r="J48" s="236">
        <v>0.61</v>
      </c>
      <c r="K48" s="53">
        <v>0.51</v>
      </c>
      <c r="L48" s="236">
        <v>0.61</v>
      </c>
      <c r="M48" s="234">
        <v>0.59</v>
      </c>
      <c r="N48" s="53">
        <v>0.63</v>
      </c>
      <c r="O48" s="52"/>
      <c r="P48" s="268" t="s">
        <v>250</v>
      </c>
      <c r="Q48" s="276" t="s">
        <v>748</v>
      </c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</row>
    <row r="49" spans="1:28" x14ac:dyDescent="0.25">
      <c r="C49" s="258" t="s">
        <v>483</v>
      </c>
      <c r="D49" s="258" t="s">
        <v>714</v>
      </c>
      <c r="E49" s="234">
        <v>0.59</v>
      </c>
      <c r="F49" s="53">
        <v>0.63</v>
      </c>
      <c r="G49" s="53">
        <v>0.55000000000000004</v>
      </c>
      <c r="H49" s="53">
        <v>0.63</v>
      </c>
      <c r="I49" s="53">
        <v>0.51</v>
      </c>
      <c r="J49" s="236">
        <v>0.61</v>
      </c>
      <c r="K49" s="53">
        <v>0.51</v>
      </c>
      <c r="L49" s="236">
        <v>0.61</v>
      </c>
      <c r="M49" s="234">
        <v>0.59</v>
      </c>
      <c r="N49" s="53">
        <v>0.63</v>
      </c>
      <c r="O49" s="52"/>
      <c r="P49" s="268" t="s">
        <v>250</v>
      </c>
      <c r="Q49" s="276" t="s">
        <v>748</v>
      </c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</row>
    <row r="50" spans="1:28" x14ac:dyDescent="0.25">
      <c r="C50" s="262" t="s">
        <v>483</v>
      </c>
      <c r="D50" s="262" t="s">
        <v>715</v>
      </c>
      <c r="E50" s="237">
        <v>0.59</v>
      </c>
      <c r="F50" s="238">
        <v>0.63</v>
      </c>
      <c r="G50" s="238">
        <v>0.55000000000000004</v>
      </c>
      <c r="H50" s="238">
        <v>0.63</v>
      </c>
      <c r="I50" s="238">
        <v>0.51</v>
      </c>
      <c r="J50" s="239">
        <v>0.61</v>
      </c>
      <c r="K50" s="238">
        <v>0.51</v>
      </c>
      <c r="L50" s="239">
        <v>0.61</v>
      </c>
      <c r="M50" s="237">
        <v>0.59</v>
      </c>
      <c r="N50" s="238">
        <v>0.63</v>
      </c>
      <c r="O50" s="52"/>
      <c r="P50" s="268" t="s">
        <v>250</v>
      </c>
      <c r="Q50" s="279" t="s">
        <v>748</v>
      </c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</row>
    <row r="51" spans="1:28" x14ac:dyDescent="0.25">
      <c r="A51" s="138" t="s">
        <v>250</v>
      </c>
      <c r="C51" s="258" t="s">
        <v>483</v>
      </c>
      <c r="D51" s="258"/>
      <c r="E51" s="234">
        <v>0.77</v>
      </c>
      <c r="F51" s="53">
        <v>0.89</v>
      </c>
      <c r="G51" s="53">
        <v>0.77</v>
      </c>
      <c r="H51" s="53">
        <v>0.89</v>
      </c>
      <c r="I51" s="53">
        <v>0.77</v>
      </c>
      <c r="J51" s="236">
        <v>0.89</v>
      </c>
      <c r="K51" s="53">
        <v>0.77</v>
      </c>
      <c r="L51" s="236">
        <v>0.89</v>
      </c>
      <c r="M51" s="234">
        <v>0.77</v>
      </c>
      <c r="N51" s="53">
        <v>0.89</v>
      </c>
      <c r="O51" s="52"/>
      <c r="P51" s="268" t="s">
        <v>250</v>
      </c>
      <c r="Q51" s="280" t="s">
        <v>749</v>
      </c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</row>
    <row r="52" spans="1:28" x14ac:dyDescent="0.25">
      <c r="C52" s="229" t="s">
        <v>483</v>
      </c>
      <c r="D52" s="271" t="s">
        <v>716</v>
      </c>
      <c r="E52" s="259">
        <v>0.59</v>
      </c>
      <c r="F52" s="260">
        <v>0.63</v>
      </c>
      <c r="G52" s="260">
        <v>0.55000000000000004</v>
      </c>
      <c r="H52" s="260">
        <v>0.63</v>
      </c>
      <c r="I52" s="260">
        <v>0.51</v>
      </c>
      <c r="J52" s="261">
        <v>0.61</v>
      </c>
      <c r="K52" s="260">
        <v>0.51</v>
      </c>
      <c r="L52" s="261">
        <v>0.61</v>
      </c>
      <c r="M52" s="259">
        <v>0.59</v>
      </c>
      <c r="N52" s="260">
        <v>0.63</v>
      </c>
      <c r="O52" s="52"/>
      <c r="P52" s="268" t="s">
        <v>250</v>
      </c>
      <c r="Q52" s="273" t="s">
        <v>748</v>
      </c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</row>
    <row r="53" spans="1:28" x14ac:dyDescent="0.25">
      <c r="C53" s="258" t="s">
        <v>483</v>
      </c>
      <c r="D53" s="269" t="s">
        <v>717</v>
      </c>
      <c r="E53" s="234">
        <v>0.59</v>
      </c>
      <c r="F53" s="53">
        <v>0.63</v>
      </c>
      <c r="G53" s="53">
        <v>0.55000000000000004</v>
      </c>
      <c r="H53" s="53">
        <v>0.63</v>
      </c>
      <c r="I53" s="53">
        <v>0.51</v>
      </c>
      <c r="J53" s="236">
        <v>0.61</v>
      </c>
      <c r="K53" s="53">
        <v>0.51</v>
      </c>
      <c r="L53" s="236">
        <v>0.61</v>
      </c>
      <c r="M53" s="234">
        <v>0.59</v>
      </c>
      <c r="N53" s="53">
        <v>0.63</v>
      </c>
      <c r="O53" s="52"/>
      <c r="P53" s="268" t="s">
        <v>250</v>
      </c>
      <c r="Q53" s="272" t="s">
        <v>748</v>
      </c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</row>
    <row r="54" spans="1:28" x14ac:dyDescent="0.25">
      <c r="C54" s="258" t="s">
        <v>483</v>
      </c>
      <c r="D54" s="269" t="s">
        <v>718</v>
      </c>
      <c r="E54" s="234">
        <v>0.59</v>
      </c>
      <c r="F54" s="53">
        <v>0.63</v>
      </c>
      <c r="G54" s="53">
        <v>0.55000000000000004</v>
      </c>
      <c r="H54" s="53">
        <v>0.63</v>
      </c>
      <c r="I54" s="53">
        <v>0.51</v>
      </c>
      <c r="J54" s="236">
        <v>0.61</v>
      </c>
      <c r="K54" s="53">
        <v>0.51</v>
      </c>
      <c r="L54" s="236">
        <v>0.61</v>
      </c>
      <c r="M54" s="234">
        <v>0.59</v>
      </c>
      <c r="N54" s="53">
        <v>0.63</v>
      </c>
      <c r="O54" s="52"/>
      <c r="P54" s="268" t="s">
        <v>250</v>
      </c>
      <c r="Q54" s="272" t="s">
        <v>748</v>
      </c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</row>
    <row r="55" spans="1:28" x14ac:dyDescent="0.25">
      <c r="C55" s="258" t="s">
        <v>483</v>
      </c>
      <c r="D55" s="269" t="s">
        <v>719</v>
      </c>
      <c r="E55" s="237">
        <v>0.59</v>
      </c>
      <c r="F55" s="238">
        <v>0.63</v>
      </c>
      <c r="G55" s="238">
        <v>0.55000000000000004</v>
      </c>
      <c r="H55" s="238">
        <v>0.63</v>
      </c>
      <c r="I55" s="238">
        <v>0.51</v>
      </c>
      <c r="J55" s="239">
        <v>0.61</v>
      </c>
      <c r="K55" s="238">
        <v>0.51</v>
      </c>
      <c r="L55" s="239">
        <v>0.61</v>
      </c>
      <c r="M55" s="237">
        <v>0.59</v>
      </c>
      <c r="N55" s="238">
        <v>0.63</v>
      </c>
      <c r="O55" s="52"/>
      <c r="P55" s="268" t="s">
        <v>250</v>
      </c>
      <c r="Q55" s="272" t="s">
        <v>748</v>
      </c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</row>
    <row r="56" spans="1:28" x14ac:dyDescent="0.25">
      <c r="C56" s="229" t="s">
        <v>483</v>
      </c>
      <c r="D56" s="229" t="s">
        <v>720</v>
      </c>
      <c r="E56" s="259">
        <v>0.6</v>
      </c>
      <c r="F56" s="260">
        <v>0.59</v>
      </c>
      <c r="G56" s="260">
        <v>0.56000000000000005</v>
      </c>
      <c r="H56" s="260">
        <v>0.59</v>
      </c>
      <c r="I56" s="260">
        <v>0.52</v>
      </c>
      <c r="J56" s="261">
        <v>0.56999999999999995</v>
      </c>
      <c r="K56" s="260">
        <v>0.52</v>
      </c>
      <c r="L56" s="261">
        <v>0.56999999999999995</v>
      </c>
      <c r="M56" s="259">
        <v>0.6</v>
      </c>
      <c r="N56" s="260">
        <v>0.59</v>
      </c>
      <c r="O56" s="52"/>
      <c r="P56" s="268" t="s">
        <v>250</v>
      </c>
      <c r="Q56" s="278" t="s">
        <v>750</v>
      </c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</row>
    <row r="57" spans="1:28" x14ac:dyDescent="0.25">
      <c r="C57" s="258" t="s">
        <v>483</v>
      </c>
      <c r="D57" s="258" t="s">
        <v>721</v>
      </c>
      <c r="E57" s="234">
        <v>0.6</v>
      </c>
      <c r="F57" s="53">
        <v>0.59</v>
      </c>
      <c r="G57" s="53">
        <v>0.56000000000000005</v>
      </c>
      <c r="H57" s="53">
        <v>0.59</v>
      </c>
      <c r="I57" s="53">
        <v>0.52</v>
      </c>
      <c r="J57" s="236">
        <v>0.56999999999999995</v>
      </c>
      <c r="K57" s="53">
        <v>0.52</v>
      </c>
      <c r="L57" s="236">
        <v>0.56999999999999995</v>
      </c>
      <c r="M57" s="234">
        <v>0.6</v>
      </c>
      <c r="N57" s="53">
        <v>0.59</v>
      </c>
      <c r="O57" s="52"/>
      <c r="P57" s="268" t="s">
        <v>250</v>
      </c>
      <c r="Q57" s="276" t="s">
        <v>750</v>
      </c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</row>
    <row r="58" spans="1:28" x14ac:dyDescent="0.25">
      <c r="C58" s="258" t="s">
        <v>483</v>
      </c>
      <c r="D58" s="258" t="s">
        <v>722</v>
      </c>
      <c r="E58" s="234">
        <v>0.6</v>
      </c>
      <c r="F58" s="53">
        <v>0.59</v>
      </c>
      <c r="G58" s="53">
        <v>0.56000000000000005</v>
      </c>
      <c r="H58" s="53">
        <v>0.59</v>
      </c>
      <c r="I58" s="53">
        <v>0.52</v>
      </c>
      <c r="J58" s="236">
        <v>0.56999999999999995</v>
      </c>
      <c r="K58" s="53">
        <v>0.52</v>
      </c>
      <c r="L58" s="236">
        <v>0.56999999999999995</v>
      </c>
      <c r="M58" s="234">
        <v>0.6</v>
      </c>
      <c r="N58" s="53">
        <v>0.59</v>
      </c>
      <c r="O58" s="52"/>
      <c r="P58" s="268" t="s">
        <v>250</v>
      </c>
      <c r="Q58" s="276" t="s">
        <v>750</v>
      </c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</row>
    <row r="59" spans="1:28" x14ac:dyDescent="0.25">
      <c r="C59" s="262" t="s">
        <v>483</v>
      </c>
      <c r="D59" s="262" t="s">
        <v>723</v>
      </c>
      <c r="E59" s="237">
        <v>0.6</v>
      </c>
      <c r="F59" s="238">
        <v>0.59</v>
      </c>
      <c r="G59" s="238">
        <v>0.56000000000000005</v>
      </c>
      <c r="H59" s="238">
        <v>0.59</v>
      </c>
      <c r="I59" s="238">
        <v>0.52</v>
      </c>
      <c r="J59" s="239">
        <v>0.56999999999999995</v>
      </c>
      <c r="K59" s="238">
        <v>0.52</v>
      </c>
      <c r="L59" s="239">
        <v>0.56999999999999995</v>
      </c>
      <c r="M59" s="237">
        <v>0.6</v>
      </c>
      <c r="N59" s="238">
        <v>0.59</v>
      </c>
      <c r="O59" s="52"/>
      <c r="P59" s="268" t="s">
        <v>250</v>
      </c>
      <c r="Q59" s="279" t="s">
        <v>750</v>
      </c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</row>
    <row r="60" spans="1:28" x14ac:dyDescent="0.25">
      <c r="A60" s="138" t="s">
        <v>250</v>
      </c>
      <c r="C60" s="258" t="s">
        <v>483</v>
      </c>
      <c r="D60" s="258"/>
      <c r="E60" s="234">
        <v>0.64</v>
      </c>
      <c r="F60" s="53">
        <v>0.6</v>
      </c>
      <c r="G60" s="53">
        <v>0.6</v>
      </c>
      <c r="H60" s="53">
        <v>0.6</v>
      </c>
      <c r="I60" s="53">
        <v>0.56000000000000005</v>
      </c>
      <c r="J60" s="236">
        <v>0.56999999999999995</v>
      </c>
      <c r="K60" s="53">
        <v>0.56000000000000005</v>
      </c>
      <c r="L60" s="236">
        <v>0.56999999999999995</v>
      </c>
      <c r="M60" s="234">
        <v>0.64</v>
      </c>
      <c r="N60" s="53">
        <v>0.6</v>
      </c>
      <c r="O60" s="52"/>
      <c r="P60" s="268" t="s">
        <v>250</v>
      </c>
      <c r="Q60" s="280" t="s">
        <v>751</v>
      </c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</row>
    <row r="61" spans="1:28" x14ac:dyDescent="0.25">
      <c r="C61" s="229" t="s">
        <v>483</v>
      </c>
      <c r="D61" s="229" t="s">
        <v>724</v>
      </c>
      <c r="E61" s="259">
        <v>0.59</v>
      </c>
      <c r="F61" s="260">
        <v>0.55000000000000004</v>
      </c>
      <c r="G61" s="260">
        <v>0.55000000000000004</v>
      </c>
      <c r="H61" s="260">
        <v>0.55000000000000004</v>
      </c>
      <c r="I61" s="260">
        <v>0.51</v>
      </c>
      <c r="J61" s="261">
        <v>0.53</v>
      </c>
      <c r="K61" s="260">
        <v>0.51</v>
      </c>
      <c r="L61" s="261">
        <v>0.53</v>
      </c>
      <c r="M61" s="259">
        <v>0.59</v>
      </c>
      <c r="N61" s="260">
        <v>0.55000000000000004</v>
      </c>
      <c r="O61" s="52"/>
      <c r="P61" s="268" t="s">
        <v>250</v>
      </c>
      <c r="Q61" s="278" t="s">
        <v>752</v>
      </c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</row>
    <row r="62" spans="1:28" x14ac:dyDescent="0.25">
      <c r="C62" s="258" t="s">
        <v>483</v>
      </c>
      <c r="D62" s="258" t="s">
        <v>725</v>
      </c>
      <c r="E62" s="234">
        <v>0.59</v>
      </c>
      <c r="F62" s="53">
        <v>0.55000000000000004</v>
      </c>
      <c r="G62" s="53">
        <v>0.55000000000000004</v>
      </c>
      <c r="H62" s="53">
        <v>0.55000000000000004</v>
      </c>
      <c r="I62" s="53">
        <v>0.51</v>
      </c>
      <c r="J62" s="236">
        <v>0.53</v>
      </c>
      <c r="K62" s="53">
        <v>0.51</v>
      </c>
      <c r="L62" s="236">
        <v>0.53</v>
      </c>
      <c r="M62" s="234">
        <v>0.59</v>
      </c>
      <c r="N62" s="53">
        <v>0.55000000000000004</v>
      </c>
      <c r="O62" s="52"/>
      <c r="P62" s="268" t="s">
        <v>250</v>
      </c>
      <c r="Q62" s="276" t="s">
        <v>752</v>
      </c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</row>
    <row r="63" spans="1:28" x14ac:dyDescent="0.25">
      <c r="C63" s="258" t="s">
        <v>483</v>
      </c>
      <c r="D63" s="258" t="s">
        <v>726</v>
      </c>
      <c r="E63" s="234">
        <v>0.59</v>
      </c>
      <c r="F63" s="53">
        <v>0.55000000000000004</v>
      </c>
      <c r="G63" s="53">
        <v>0.55000000000000004</v>
      </c>
      <c r="H63" s="53">
        <v>0.55000000000000004</v>
      </c>
      <c r="I63" s="53">
        <v>0.51</v>
      </c>
      <c r="J63" s="236">
        <v>0.53</v>
      </c>
      <c r="K63" s="53">
        <v>0.51</v>
      </c>
      <c r="L63" s="236">
        <v>0.53</v>
      </c>
      <c r="M63" s="234">
        <v>0.59</v>
      </c>
      <c r="N63" s="53">
        <v>0.55000000000000004</v>
      </c>
      <c r="O63" s="52"/>
      <c r="P63" s="268" t="s">
        <v>250</v>
      </c>
      <c r="Q63" s="276" t="s">
        <v>752</v>
      </c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</row>
    <row r="64" spans="1:28" x14ac:dyDescent="0.25">
      <c r="C64" s="262" t="s">
        <v>483</v>
      </c>
      <c r="D64" s="262" t="s">
        <v>727</v>
      </c>
      <c r="E64" s="237">
        <v>0.59</v>
      </c>
      <c r="F64" s="238">
        <v>0.55000000000000004</v>
      </c>
      <c r="G64" s="238">
        <v>0.55000000000000004</v>
      </c>
      <c r="H64" s="238">
        <v>0.55000000000000004</v>
      </c>
      <c r="I64" s="238">
        <v>0.51</v>
      </c>
      <c r="J64" s="239">
        <v>0.53</v>
      </c>
      <c r="K64" s="238">
        <v>0.51</v>
      </c>
      <c r="L64" s="239">
        <v>0.53</v>
      </c>
      <c r="M64" s="237">
        <v>0.59</v>
      </c>
      <c r="N64" s="238">
        <v>0.55000000000000004</v>
      </c>
      <c r="O64" s="52"/>
      <c r="P64" s="268" t="s">
        <v>250</v>
      </c>
      <c r="Q64" s="279" t="s">
        <v>752</v>
      </c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</row>
    <row r="65" spans="1:28" x14ac:dyDescent="0.25">
      <c r="A65" s="138" t="s">
        <v>250</v>
      </c>
      <c r="C65" s="258" t="s">
        <v>483</v>
      </c>
      <c r="D65" s="258"/>
      <c r="E65" s="234">
        <v>0.54</v>
      </c>
      <c r="F65" s="53">
        <v>0.56000000000000005</v>
      </c>
      <c r="G65" s="53">
        <v>0.5</v>
      </c>
      <c r="H65" s="53">
        <v>0.56000000000000005</v>
      </c>
      <c r="I65" s="53">
        <v>0.46</v>
      </c>
      <c r="J65" s="236">
        <v>0.54</v>
      </c>
      <c r="K65" s="53">
        <v>0.46</v>
      </c>
      <c r="L65" s="236">
        <v>0.54</v>
      </c>
      <c r="M65" s="234">
        <v>0.54</v>
      </c>
      <c r="N65" s="53">
        <v>0.56000000000000005</v>
      </c>
      <c r="O65" s="52"/>
      <c r="P65" s="268" t="s">
        <v>250</v>
      </c>
      <c r="Q65" s="280" t="s">
        <v>754</v>
      </c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</row>
    <row r="66" spans="1:28" x14ac:dyDescent="0.25">
      <c r="A66" s="138" t="s">
        <v>250</v>
      </c>
      <c r="C66" s="182" t="s">
        <v>483</v>
      </c>
      <c r="D66" s="182"/>
      <c r="E66" s="254">
        <v>0.62</v>
      </c>
      <c r="F66" s="255">
        <v>0.56999999999999995</v>
      </c>
      <c r="G66" s="255">
        <v>0.57999999999999996</v>
      </c>
      <c r="H66" s="255">
        <v>0.56999999999999995</v>
      </c>
      <c r="I66" s="255">
        <v>0.53</v>
      </c>
      <c r="J66" s="256">
        <v>0.55000000000000004</v>
      </c>
      <c r="K66" s="255">
        <v>0.53</v>
      </c>
      <c r="L66" s="256">
        <v>0.55000000000000004</v>
      </c>
      <c r="M66" s="254">
        <v>0.62</v>
      </c>
      <c r="N66" s="255">
        <v>0.56999999999999995</v>
      </c>
      <c r="O66" s="52"/>
      <c r="P66" s="268" t="s">
        <v>250</v>
      </c>
      <c r="Q66" s="281" t="s">
        <v>753</v>
      </c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</row>
    <row r="67" spans="1:28" x14ac:dyDescent="0.25">
      <c r="C67" s="229" t="s">
        <v>483</v>
      </c>
      <c r="D67" s="229" t="s">
        <v>728</v>
      </c>
      <c r="E67" s="259">
        <v>0.56000000000000005</v>
      </c>
      <c r="F67" s="260">
        <v>0.51</v>
      </c>
      <c r="G67" s="260">
        <v>0.52</v>
      </c>
      <c r="H67" s="260">
        <v>0.51</v>
      </c>
      <c r="I67" s="260">
        <v>0.48</v>
      </c>
      <c r="J67" s="261">
        <v>0.49</v>
      </c>
      <c r="K67" s="260">
        <v>0.48</v>
      </c>
      <c r="L67" s="261">
        <v>0.49</v>
      </c>
      <c r="M67" s="259">
        <v>0.56000000000000005</v>
      </c>
      <c r="N67" s="260">
        <v>0.51</v>
      </c>
      <c r="O67" s="52"/>
      <c r="P67" s="268" t="s">
        <v>250</v>
      </c>
      <c r="Q67" s="278" t="s">
        <v>755</v>
      </c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</row>
    <row r="68" spans="1:28" x14ac:dyDescent="0.25">
      <c r="C68" s="258" t="s">
        <v>483</v>
      </c>
      <c r="D68" s="258" t="s">
        <v>729</v>
      </c>
      <c r="E68" s="234">
        <v>0.56000000000000005</v>
      </c>
      <c r="F68" s="53">
        <v>0.51</v>
      </c>
      <c r="G68" s="53">
        <v>0.52</v>
      </c>
      <c r="H68" s="53">
        <v>0.51</v>
      </c>
      <c r="I68" s="53">
        <v>0.48</v>
      </c>
      <c r="J68" s="236">
        <v>0.49</v>
      </c>
      <c r="K68" s="53">
        <v>0.48</v>
      </c>
      <c r="L68" s="236">
        <v>0.49</v>
      </c>
      <c r="M68" s="234">
        <v>0.56000000000000005</v>
      </c>
      <c r="N68" s="53">
        <v>0.51</v>
      </c>
      <c r="O68" s="52"/>
      <c r="P68" s="268" t="s">
        <v>250</v>
      </c>
      <c r="Q68" s="276" t="s">
        <v>755</v>
      </c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</row>
    <row r="69" spans="1:28" x14ac:dyDescent="0.25">
      <c r="C69" s="258" t="s">
        <v>483</v>
      </c>
      <c r="D69" s="258" t="s">
        <v>730</v>
      </c>
      <c r="E69" s="234">
        <v>0.56000000000000005</v>
      </c>
      <c r="F69" s="53">
        <v>0.51</v>
      </c>
      <c r="G69" s="53">
        <v>0.52</v>
      </c>
      <c r="H69" s="53">
        <v>0.51</v>
      </c>
      <c r="I69" s="53">
        <v>0.48</v>
      </c>
      <c r="J69" s="236">
        <v>0.49</v>
      </c>
      <c r="K69" s="53">
        <v>0.48</v>
      </c>
      <c r="L69" s="236">
        <v>0.49</v>
      </c>
      <c r="M69" s="234">
        <v>0.56000000000000005</v>
      </c>
      <c r="N69" s="53">
        <v>0.51</v>
      </c>
      <c r="O69" s="52"/>
      <c r="P69" s="268" t="s">
        <v>250</v>
      </c>
      <c r="Q69" s="276" t="s">
        <v>755</v>
      </c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</row>
    <row r="70" spans="1:28" x14ac:dyDescent="0.25">
      <c r="C70" s="262" t="s">
        <v>483</v>
      </c>
      <c r="D70" s="262" t="s">
        <v>731</v>
      </c>
      <c r="E70" s="237">
        <v>0.56000000000000005</v>
      </c>
      <c r="F70" s="238">
        <v>0.51</v>
      </c>
      <c r="G70" s="238">
        <v>0.52</v>
      </c>
      <c r="H70" s="238">
        <v>0.51</v>
      </c>
      <c r="I70" s="238">
        <v>0.48</v>
      </c>
      <c r="J70" s="239">
        <v>0.49</v>
      </c>
      <c r="K70" s="238">
        <v>0.48</v>
      </c>
      <c r="L70" s="239">
        <v>0.49</v>
      </c>
      <c r="M70" s="237">
        <v>0.56000000000000005</v>
      </c>
      <c r="N70" s="238">
        <v>0.51</v>
      </c>
      <c r="O70" s="52"/>
      <c r="P70" s="268" t="s">
        <v>250</v>
      </c>
      <c r="Q70" s="279" t="s">
        <v>755</v>
      </c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</row>
    <row r="71" spans="1:28" x14ac:dyDescent="0.25">
      <c r="C71" s="229" t="s">
        <v>483</v>
      </c>
      <c r="D71" s="229" t="s">
        <v>732</v>
      </c>
      <c r="E71" s="259">
        <v>0.47</v>
      </c>
      <c r="F71" s="260">
        <v>0.54</v>
      </c>
      <c r="G71" s="260">
        <v>0.43</v>
      </c>
      <c r="H71" s="260">
        <v>0.54</v>
      </c>
      <c r="I71" s="260">
        <v>0.4</v>
      </c>
      <c r="J71" s="261">
        <v>0.52</v>
      </c>
      <c r="K71" s="260">
        <v>0.4</v>
      </c>
      <c r="L71" s="261">
        <v>0.52</v>
      </c>
      <c r="M71" s="259">
        <v>0.47</v>
      </c>
      <c r="N71" s="260">
        <v>0.54</v>
      </c>
      <c r="O71" s="52"/>
      <c r="P71" s="268" t="s">
        <v>250</v>
      </c>
      <c r="Q71" s="278" t="s">
        <v>756</v>
      </c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</row>
    <row r="72" spans="1:28" x14ac:dyDescent="0.25">
      <c r="C72" s="258" t="s">
        <v>483</v>
      </c>
      <c r="D72" s="258" t="s">
        <v>733</v>
      </c>
      <c r="E72" s="234">
        <v>0.47</v>
      </c>
      <c r="F72" s="53">
        <v>0.54</v>
      </c>
      <c r="G72" s="53">
        <v>0.43</v>
      </c>
      <c r="H72" s="53">
        <v>0.54</v>
      </c>
      <c r="I72" s="53">
        <v>0.4</v>
      </c>
      <c r="J72" s="236">
        <v>0.52</v>
      </c>
      <c r="K72" s="53">
        <v>0.4</v>
      </c>
      <c r="L72" s="236">
        <v>0.52</v>
      </c>
      <c r="M72" s="234">
        <v>0.47</v>
      </c>
      <c r="N72" s="53">
        <v>0.54</v>
      </c>
      <c r="O72" s="52"/>
      <c r="P72" s="268" t="s">
        <v>250</v>
      </c>
      <c r="Q72" s="276" t="s">
        <v>756</v>
      </c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</row>
    <row r="73" spans="1:28" x14ac:dyDescent="0.25">
      <c r="C73" s="258" t="s">
        <v>483</v>
      </c>
      <c r="D73" s="258" t="s">
        <v>734</v>
      </c>
      <c r="E73" s="234">
        <v>0.47</v>
      </c>
      <c r="F73" s="53">
        <v>0.54</v>
      </c>
      <c r="G73" s="53">
        <v>0.43</v>
      </c>
      <c r="H73" s="53">
        <v>0.54</v>
      </c>
      <c r="I73" s="53">
        <v>0.4</v>
      </c>
      <c r="J73" s="236">
        <v>0.52</v>
      </c>
      <c r="K73" s="53">
        <v>0.4</v>
      </c>
      <c r="L73" s="236">
        <v>0.52</v>
      </c>
      <c r="M73" s="234">
        <v>0.47</v>
      </c>
      <c r="N73" s="53">
        <v>0.54</v>
      </c>
      <c r="O73" s="52"/>
      <c r="P73" s="268" t="s">
        <v>250</v>
      </c>
      <c r="Q73" s="276" t="s">
        <v>756</v>
      </c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</row>
    <row r="74" spans="1:28" x14ac:dyDescent="0.25">
      <c r="C74" s="262" t="s">
        <v>483</v>
      </c>
      <c r="D74" s="262" t="s">
        <v>735</v>
      </c>
      <c r="E74" s="237">
        <v>0.47</v>
      </c>
      <c r="F74" s="238">
        <v>0.54</v>
      </c>
      <c r="G74" s="238">
        <v>0.43</v>
      </c>
      <c r="H74" s="238">
        <v>0.54</v>
      </c>
      <c r="I74" s="238">
        <v>0.4</v>
      </c>
      <c r="J74" s="239">
        <v>0.52</v>
      </c>
      <c r="K74" s="238">
        <v>0.4</v>
      </c>
      <c r="L74" s="239">
        <v>0.52</v>
      </c>
      <c r="M74" s="237">
        <v>0.47</v>
      </c>
      <c r="N74" s="238">
        <v>0.54</v>
      </c>
      <c r="O74" s="52"/>
      <c r="P74" s="268" t="s">
        <v>250</v>
      </c>
      <c r="Q74" s="279" t="s">
        <v>756</v>
      </c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</row>
    <row r="75" spans="1:28" x14ac:dyDescent="0.25">
      <c r="A75" s="138" t="s">
        <v>250</v>
      </c>
      <c r="C75" s="258" t="s">
        <v>483</v>
      </c>
      <c r="D75" s="258"/>
      <c r="E75" s="234">
        <v>0.71</v>
      </c>
      <c r="F75" s="53">
        <v>0.85</v>
      </c>
      <c r="G75" s="53">
        <v>0.71</v>
      </c>
      <c r="H75" s="53">
        <v>0.85</v>
      </c>
      <c r="I75" s="53">
        <v>0.71</v>
      </c>
      <c r="J75" s="236">
        <v>0.85</v>
      </c>
      <c r="K75" s="53">
        <v>0.71</v>
      </c>
      <c r="L75" s="236">
        <v>0.85</v>
      </c>
      <c r="M75" s="234">
        <v>0.71</v>
      </c>
      <c r="N75" s="53">
        <v>0.85</v>
      </c>
      <c r="O75" s="52"/>
      <c r="P75" s="268" t="s">
        <v>250</v>
      </c>
      <c r="Q75" s="280" t="s">
        <v>758</v>
      </c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</row>
    <row r="76" spans="1:28" x14ac:dyDescent="0.25">
      <c r="C76" s="229" t="s">
        <v>483</v>
      </c>
      <c r="D76" s="229" t="s">
        <v>736</v>
      </c>
      <c r="E76" s="259">
        <v>0.41</v>
      </c>
      <c r="F76" s="260">
        <v>0.48</v>
      </c>
      <c r="G76" s="260">
        <v>0.37</v>
      </c>
      <c r="H76" s="260">
        <v>0.48</v>
      </c>
      <c r="I76" s="260">
        <v>0.33</v>
      </c>
      <c r="J76" s="261">
        <v>0.46</v>
      </c>
      <c r="K76" s="260">
        <v>0.33</v>
      </c>
      <c r="L76" s="261">
        <v>0.46</v>
      </c>
      <c r="M76" s="259">
        <v>0.41</v>
      </c>
      <c r="N76" s="260">
        <v>0.48</v>
      </c>
      <c r="O76" s="52"/>
      <c r="P76" s="268" t="s">
        <v>250</v>
      </c>
      <c r="Q76" s="278" t="s">
        <v>757</v>
      </c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</row>
    <row r="77" spans="1:28" x14ac:dyDescent="0.25">
      <c r="C77" s="258" t="s">
        <v>483</v>
      </c>
      <c r="D77" s="258" t="s">
        <v>737</v>
      </c>
      <c r="E77" s="234">
        <v>0.41</v>
      </c>
      <c r="F77" s="53">
        <v>0.48</v>
      </c>
      <c r="G77" s="53">
        <v>0.37</v>
      </c>
      <c r="H77" s="53">
        <v>0.48</v>
      </c>
      <c r="I77" s="53">
        <v>0.33</v>
      </c>
      <c r="J77" s="236">
        <v>0.46</v>
      </c>
      <c r="K77" s="53">
        <v>0.33</v>
      </c>
      <c r="L77" s="236">
        <v>0.46</v>
      </c>
      <c r="M77" s="234">
        <v>0.41</v>
      </c>
      <c r="N77" s="53">
        <v>0.48</v>
      </c>
      <c r="O77" s="52"/>
      <c r="P77" s="268" t="s">
        <v>250</v>
      </c>
      <c r="Q77" s="276" t="s">
        <v>757</v>
      </c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</row>
    <row r="78" spans="1:28" x14ac:dyDescent="0.25">
      <c r="C78" s="258" t="s">
        <v>483</v>
      </c>
      <c r="D78" s="258" t="s">
        <v>738</v>
      </c>
      <c r="E78" s="234">
        <v>0.41</v>
      </c>
      <c r="F78" s="53">
        <v>0.48</v>
      </c>
      <c r="G78" s="53">
        <v>0.37</v>
      </c>
      <c r="H78" s="53">
        <v>0.48</v>
      </c>
      <c r="I78" s="53">
        <v>0.33</v>
      </c>
      <c r="J78" s="236">
        <v>0.46</v>
      </c>
      <c r="K78" s="53">
        <v>0.33</v>
      </c>
      <c r="L78" s="236">
        <v>0.46</v>
      </c>
      <c r="M78" s="234">
        <v>0.41</v>
      </c>
      <c r="N78" s="53">
        <v>0.48</v>
      </c>
      <c r="O78" s="52"/>
      <c r="P78" s="268" t="s">
        <v>250</v>
      </c>
      <c r="Q78" s="276" t="s">
        <v>757</v>
      </c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</row>
    <row r="79" spans="1:28" x14ac:dyDescent="0.25">
      <c r="C79" s="262" t="s">
        <v>483</v>
      </c>
      <c r="D79" s="262" t="s">
        <v>739</v>
      </c>
      <c r="E79" s="237">
        <v>0.41</v>
      </c>
      <c r="F79" s="238">
        <v>0.48</v>
      </c>
      <c r="G79" s="238">
        <v>0.37</v>
      </c>
      <c r="H79" s="238">
        <v>0.48</v>
      </c>
      <c r="I79" s="238">
        <v>0.33</v>
      </c>
      <c r="J79" s="239">
        <v>0.46</v>
      </c>
      <c r="K79" s="238">
        <v>0.33</v>
      </c>
      <c r="L79" s="239">
        <v>0.46</v>
      </c>
      <c r="M79" s="237">
        <v>0.41</v>
      </c>
      <c r="N79" s="238">
        <v>0.48</v>
      </c>
      <c r="O79" s="52"/>
      <c r="P79" s="268" t="s">
        <v>250</v>
      </c>
      <c r="Q79" s="279" t="s">
        <v>757</v>
      </c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</row>
    <row r="80" spans="1:28" x14ac:dyDescent="0.25">
      <c r="C80" s="182" t="s">
        <v>483</v>
      </c>
      <c r="D80" s="275" t="s">
        <v>740</v>
      </c>
      <c r="E80" s="237">
        <v>0.41</v>
      </c>
      <c r="F80" s="238">
        <v>0.48</v>
      </c>
      <c r="G80" s="238">
        <v>0.37</v>
      </c>
      <c r="H80" s="238">
        <v>0.48</v>
      </c>
      <c r="I80" s="238">
        <v>0.33</v>
      </c>
      <c r="J80" s="239">
        <v>0.46</v>
      </c>
      <c r="K80" s="238">
        <v>0.33</v>
      </c>
      <c r="L80" s="239">
        <v>0.46</v>
      </c>
      <c r="M80" s="237">
        <v>0.41</v>
      </c>
      <c r="N80" s="238">
        <v>0.48</v>
      </c>
      <c r="O80" s="52"/>
      <c r="P80" s="268" t="s">
        <v>250</v>
      </c>
      <c r="Q80" s="274" t="s">
        <v>757</v>
      </c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</row>
    <row r="81" spans="1:28" x14ac:dyDescent="0.25">
      <c r="A81" s="138" t="s">
        <v>250</v>
      </c>
      <c r="C81" s="182" t="s">
        <v>483</v>
      </c>
      <c r="D81" s="182"/>
      <c r="E81" s="254">
        <v>0.65</v>
      </c>
      <c r="F81" s="255">
        <v>0.81</v>
      </c>
      <c r="G81" s="255">
        <v>0.65</v>
      </c>
      <c r="H81" s="255">
        <v>0.81</v>
      </c>
      <c r="I81" s="255">
        <v>0.65</v>
      </c>
      <c r="J81" s="256">
        <v>0.81</v>
      </c>
      <c r="K81" s="255">
        <v>0.65</v>
      </c>
      <c r="L81" s="256">
        <v>0.81</v>
      </c>
      <c r="M81" s="254">
        <v>0.65</v>
      </c>
      <c r="N81" s="255">
        <v>0.81</v>
      </c>
      <c r="O81" s="52"/>
      <c r="P81" s="268" t="s">
        <v>250</v>
      </c>
      <c r="Q81" s="282" t="s">
        <v>759</v>
      </c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</row>
    <row r="82" spans="1:28" x14ac:dyDescent="0.25">
      <c r="C82" s="258" t="s">
        <v>484</v>
      </c>
      <c r="D82" s="258" t="s">
        <v>693</v>
      </c>
      <c r="E82" s="234">
        <v>0.7</v>
      </c>
      <c r="F82" s="53">
        <v>0.57999999999999996</v>
      </c>
      <c r="G82" s="53">
        <v>0.66</v>
      </c>
      <c r="H82" s="53">
        <v>0.57999999999999996</v>
      </c>
      <c r="I82" s="235">
        <v>0.62</v>
      </c>
      <c r="J82" s="236">
        <v>0.56000000000000005</v>
      </c>
      <c r="K82" s="235">
        <v>0.62</v>
      </c>
      <c r="L82" s="236">
        <v>0.56000000000000005</v>
      </c>
      <c r="M82" s="234">
        <v>0.7</v>
      </c>
      <c r="N82" s="53">
        <v>0.57999999999999996</v>
      </c>
      <c r="O82" s="52"/>
      <c r="P82" s="268" t="s">
        <v>250</v>
      </c>
      <c r="Q82" s="276" t="s">
        <v>742</v>
      </c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</row>
    <row r="83" spans="1:28" x14ac:dyDescent="0.25">
      <c r="A83" s="138" t="s">
        <v>250</v>
      </c>
      <c r="C83" s="258" t="s">
        <v>484</v>
      </c>
      <c r="D83" s="270"/>
      <c r="E83" s="234">
        <v>0.61</v>
      </c>
      <c r="F83" s="53">
        <v>0.45</v>
      </c>
      <c r="G83" s="53">
        <v>0.56000000000000005</v>
      </c>
      <c r="H83" s="53">
        <v>0.45</v>
      </c>
      <c r="I83" s="235">
        <v>0.52</v>
      </c>
      <c r="J83" s="236">
        <v>0.44</v>
      </c>
      <c r="K83" s="235">
        <v>0.52</v>
      </c>
      <c r="L83" s="236">
        <v>0.44</v>
      </c>
      <c r="M83" s="234">
        <v>0.61</v>
      </c>
      <c r="N83" s="53">
        <v>0.45</v>
      </c>
      <c r="O83" s="52"/>
      <c r="P83" s="268" t="s">
        <v>250</v>
      </c>
      <c r="Q83" s="277" t="s">
        <v>743</v>
      </c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</row>
    <row r="84" spans="1:28" x14ac:dyDescent="0.25">
      <c r="C84" s="258" t="s">
        <v>484</v>
      </c>
      <c r="D84" s="258" t="s">
        <v>694</v>
      </c>
      <c r="E84" s="234">
        <v>0.46</v>
      </c>
      <c r="F84" s="53">
        <v>0.27</v>
      </c>
      <c r="G84" s="53">
        <v>0.46</v>
      </c>
      <c r="H84" s="53">
        <v>0.27</v>
      </c>
      <c r="I84" s="53">
        <v>0.46</v>
      </c>
      <c r="J84" s="236">
        <v>0.27</v>
      </c>
      <c r="K84" s="53">
        <v>0.46</v>
      </c>
      <c r="L84" s="236">
        <v>0.27</v>
      </c>
      <c r="M84" s="234">
        <v>0.46</v>
      </c>
      <c r="N84" s="53">
        <v>0.27</v>
      </c>
      <c r="O84" s="52"/>
      <c r="P84" s="268" t="s">
        <v>250</v>
      </c>
      <c r="Q84" s="276" t="s">
        <v>744</v>
      </c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</row>
    <row r="85" spans="1:28" x14ac:dyDescent="0.25">
      <c r="C85" s="258" t="s">
        <v>484</v>
      </c>
      <c r="D85" s="258" t="s">
        <v>695</v>
      </c>
      <c r="E85" s="234">
        <v>0.46</v>
      </c>
      <c r="F85" s="53">
        <v>0.27</v>
      </c>
      <c r="G85" s="53">
        <v>0.46</v>
      </c>
      <c r="H85" s="53">
        <v>0.27</v>
      </c>
      <c r="I85" s="53">
        <v>0.46</v>
      </c>
      <c r="J85" s="236">
        <v>0.27</v>
      </c>
      <c r="K85" s="53">
        <v>0.46</v>
      </c>
      <c r="L85" s="236">
        <v>0.27</v>
      </c>
      <c r="M85" s="234">
        <v>0.46</v>
      </c>
      <c r="N85" s="53">
        <v>0.27</v>
      </c>
      <c r="O85" s="52"/>
      <c r="P85" s="268" t="s">
        <v>250</v>
      </c>
      <c r="Q85" s="276" t="s">
        <v>744</v>
      </c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</row>
    <row r="86" spans="1:28" x14ac:dyDescent="0.25">
      <c r="C86" s="229" t="s">
        <v>484</v>
      </c>
      <c r="D86" s="229" t="s">
        <v>696</v>
      </c>
      <c r="E86" s="259">
        <v>0.5</v>
      </c>
      <c r="F86" s="260">
        <v>0.4</v>
      </c>
      <c r="G86" s="260">
        <v>0.46</v>
      </c>
      <c r="H86" s="260">
        <v>0.4</v>
      </c>
      <c r="I86" s="260">
        <v>0.42</v>
      </c>
      <c r="J86" s="261">
        <v>0.39</v>
      </c>
      <c r="K86" s="260">
        <v>0.42</v>
      </c>
      <c r="L86" s="261">
        <v>0.39</v>
      </c>
      <c r="M86" s="259">
        <v>0.5</v>
      </c>
      <c r="N86" s="260">
        <v>0.4</v>
      </c>
      <c r="O86" s="52"/>
      <c r="P86" s="268" t="s">
        <v>250</v>
      </c>
      <c r="Q86" s="278" t="s">
        <v>745</v>
      </c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</row>
    <row r="87" spans="1:28" x14ac:dyDescent="0.25">
      <c r="C87" s="258" t="s">
        <v>484</v>
      </c>
      <c r="D87" s="258" t="s">
        <v>697</v>
      </c>
      <c r="E87" s="234">
        <v>0.5</v>
      </c>
      <c r="F87" s="53">
        <v>0.4</v>
      </c>
      <c r="G87" s="53">
        <v>0.46</v>
      </c>
      <c r="H87" s="53">
        <v>0.4</v>
      </c>
      <c r="I87" s="53">
        <v>0.42</v>
      </c>
      <c r="J87" s="236">
        <v>0.39</v>
      </c>
      <c r="K87" s="53">
        <v>0.42</v>
      </c>
      <c r="L87" s="236">
        <v>0.39</v>
      </c>
      <c r="M87" s="234">
        <v>0.5</v>
      </c>
      <c r="N87" s="53">
        <v>0.4</v>
      </c>
      <c r="O87" s="52"/>
      <c r="P87" s="268" t="s">
        <v>250</v>
      </c>
      <c r="Q87" s="276" t="s">
        <v>745</v>
      </c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</row>
    <row r="88" spans="1:28" x14ac:dyDescent="0.25">
      <c r="C88" s="258" t="s">
        <v>484</v>
      </c>
      <c r="D88" s="258" t="s">
        <v>698</v>
      </c>
      <c r="E88" s="234">
        <v>0.5</v>
      </c>
      <c r="F88" s="53">
        <v>0.4</v>
      </c>
      <c r="G88" s="53">
        <v>0.46</v>
      </c>
      <c r="H88" s="53">
        <v>0.4</v>
      </c>
      <c r="I88" s="53">
        <v>0.42</v>
      </c>
      <c r="J88" s="236">
        <v>0.39</v>
      </c>
      <c r="K88" s="53">
        <v>0.42</v>
      </c>
      <c r="L88" s="236">
        <v>0.39</v>
      </c>
      <c r="M88" s="234">
        <v>0.5</v>
      </c>
      <c r="N88" s="53">
        <v>0.4</v>
      </c>
      <c r="P88" s="268" t="s">
        <v>250</v>
      </c>
      <c r="Q88" s="276" t="s">
        <v>745</v>
      </c>
    </row>
    <row r="89" spans="1:28" x14ac:dyDescent="0.25">
      <c r="C89" s="262" t="s">
        <v>484</v>
      </c>
      <c r="D89" s="262" t="s">
        <v>699</v>
      </c>
      <c r="E89" s="237">
        <v>0.5</v>
      </c>
      <c r="F89" s="238">
        <v>0.4</v>
      </c>
      <c r="G89" s="238">
        <v>0.46</v>
      </c>
      <c r="H89" s="238">
        <v>0.4</v>
      </c>
      <c r="I89" s="238">
        <v>0.42</v>
      </c>
      <c r="J89" s="239">
        <v>0.39</v>
      </c>
      <c r="K89" s="238">
        <v>0.42</v>
      </c>
      <c r="L89" s="239">
        <v>0.39</v>
      </c>
      <c r="M89" s="237">
        <v>0.5</v>
      </c>
      <c r="N89" s="238">
        <v>0.4</v>
      </c>
      <c r="P89" s="268" t="s">
        <v>250</v>
      </c>
      <c r="Q89" s="279" t="s">
        <v>745</v>
      </c>
    </row>
    <row r="90" spans="1:28" x14ac:dyDescent="0.25">
      <c r="C90" s="258" t="s">
        <v>484</v>
      </c>
      <c r="D90" s="269" t="s">
        <v>700</v>
      </c>
      <c r="E90" s="234">
        <v>0.5</v>
      </c>
      <c r="F90" s="53">
        <v>0.4</v>
      </c>
      <c r="G90" s="53">
        <v>0.46</v>
      </c>
      <c r="H90" s="53">
        <v>0.4</v>
      </c>
      <c r="I90" s="53">
        <v>0.42</v>
      </c>
      <c r="J90" s="236">
        <v>0.39</v>
      </c>
      <c r="K90" s="53">
        <v>0.42</v>
      </c>
      <c r="L90" s="236">
        <v>0.39</v>
      </c>
      <c r="M90" s="234">
        <v>0.5</v>
      </c>
      <c r="N90" s="53">
        <v>0.4</v>
      </c>
      <c r="P90" s="268" t="s">
        <v>250</v>
      </c>
      <c r="Q90" s="272" t="s">
        <v>745</v>
      </c>
    </row>
    <row r="91" spans="1:28" x14ac:dyDescent="0.25">
      <c r="C91" s="258" t="s">
        <v>484</v>
      </c>
      <c r="D91" s="269" t="s">
        <v>701</v>
      </c>
      <c r="E91" s="234">
        <v>0.5</v>
      </c>
      <c r="F91" s="53">
        <v>0.4</v>
      </c>
      <c r="G91" s="53">
        <v>0.46</v>
      </c>
      <c r="H91" s="53">
        <v>0.4</v>
      </c>
      <c r="I91" s="53">
        <v>0.42</v>
      </c>
      <c r="J91" s="236">
        <v>0.39</v>
      </c>
      <c r="K91" s="53">
        <v>0.42</v>
      </c>
      <c r="L91" s="236">
        <v>0.39</v>
      </c>
      <c r="M91" s="234">
        <v>0.5</v>
      </c>
      <c r="N91" s="53">
        <v>0.4</v>
      </c>
      <c r="P91" s="268" t="s">
        <v>250</v>
      </c>
      <c r="Q91" s="272" t="s">
        <v>745</v>
      </c>
    </row>
    <row r="92" spans="1:28" x14ac:dyDescent="0.25">
      <c r="C92" s="258" t="s">
        <v>484</v>
      </c>
      <c r="D92" s="269" t="s">
        <v>702</v>
      </c>
      <c r="E92" s="234">
        <v>0.5</v>
      </c>
      <c r="F92" s="53">
        <v>0.4</v>
      </c>
      <c r="G92" s="53">
        <v>0.46</v>
      </c>
      <c r="H92" s="53">
        <v>0.4</v>
      </c>
      <c r="I92" s="53">
        <v>0.42</v>
      </c>
      <c r="J92" s="236">
        <v>0.39</v>
      </c>
      <c r="K92" s="53">
        <v>0.42</v>
      </c>
      <c r="L92" s="236">
        <v>0.39</v>
      </c>
      <c r="M92" s="234">
        <v>0.5</v>
      </c>
      <c r="N92" s="53">
        <v>0.4</v>
      </c>
      <c r="P92" s="268" t="s">
        <v>250</v>
      </c>
      <c r="Q92" s="272" t="s">
        <v>745</v>
      </c>
    </row>
    <row r="93" spans="1:28" x14ac:dyDescent="0.25">
      <c r="C93" s="258" t="s">
        <v>484</v>
      </c>
      <c r="D93" s="269" t="s">
        <v>703</v>
      </c>
      <c r="E93" s="234">
        <v>0.5</v>
      </c>
      <c r="F93" s="53">
        <v>0.4</v>
      </c>
      <c r="G93" s="53">
        <v>0.46</v>
      </c>
      <c r="H93" s="53">
        <v>0.4</v>
      </c>
      <c r="I93" s="53">
        <v>0.42</v>
      </c>
      <c r="J93" s="236">
        <v>0.39</v>
      </c>
      <c r="K93" s="53">
        <v>0.42</v>
      </c>
      <c r="L93" s="236">
        <v>0.39</v>
      </c>
      <c r="M93" s="234">
        <v>0.5</v>
      </c>
      <c r="N93" s="53">
        <v>0.4</v>
      </c>
      <c r="P93" s="268" t="s">
        <v>250</v>
      </c>
      <c r="Q93" s="272" t="s">
        <v>745</v>
      </c>
    </row>
    <row r="94" spans="1:28" x14ac:dyDescent="0.25">
      <c r="C94" s="229" t="s">
        <v>484</v>
      </c>
      <c r="D94" s="229" t="s">
        <v>704</v>
      </c>
      <c r="E94" s="259">
        <v>0.59</v>
      </c>
      <c r="F94" s="260">
        <v>0.5</v>
      </c>
      <c r="G94" s="260">
        <v>0.55000000000000004</v>
      </c>
      <c r="H94" s="260">
        <v>0.5</v>
      </c>
      <c r="I94" s="260">
        <v>0.5</v>
      </c>
      <c r="J94" s="261">
        <v>0.48</v>
      </c>
      <c r="K94" s="260">
        <v>0.5</v>
      </c>
      <c r="L94" s="261">
        <v>0.48</v>
      </c>
      <c r="M94" s="259">
        <v>0.59</v>
      </c>
      <c r="N94" s="260">
        <v>0.5</v>
      </c>
      <c r="P94" s="268" t="s">
        <v>250</v>
      </c>
      <c r="Q94" s="278" t="s">
        <v>746</v>
      </c>
    </row>
    <row r="95" spans="1:28" x14ac:dyDescent="0.25">
      <c r="C95" s="258" t="s">
        <v>484</v>
      </c>
      <c r="D95" s="258" t="s">
        <v>705</v>
      </c>
      <c r="E95" s="234">
        <v>0.59</v>
      </c>
      <c r="F95" s="53">
        <v>0.5</v>
      </c>
      <c r="G95" s="53">
        <v>0.55000000000000004</v>
      </c>
      <c r="H95" s="53">
        <v>0.5</v>
      </c>
      <c r="I95" s="53">
        <v>0.5</v>
      </c>
      <c r="J95" s="236">
        <v>0.48</v>
      </c>
      <c r="K95" s="53">
        <v>0.5</v>
      </c>
      <c r="L95" s="236">
        <v>0.48</v>
      </c>
      <c r="M95" s="234">
        <v>0.59</v>
      </c>
      <c r="N95" s="53">
        <v>0.5</v>
      </c>
      <c r="P95" s="268" t="s">
        <v>250</v>
      </c>
      <c r="Q95" s="276" t="s">
        <v>746</v>
      </c>
    </row>
    <row r="96" spans="1:28" x14ac:dyDescent="0.25">
      <c r="C96" s="258" t="s">
        <v>484</v>
      </c>
      <c r="D96" s="258" t="s">
        <v>706</v>
      </c>
      <c r="E96" s="234">
        <v>0.59</v>
      </c>
      <c r="F96" s="53">
        <v>0.5</v>
      </c>
      <c r="G96" s="53">
        <v>0.55000000000000004</v>
      </c>
      <c r="H96" s="53">
        <v>0.5</v>
      </c>
      <c r="I96" s="53">
        <v>0.5</v>
      </c>
      <c r="J96" s="236">
        <v>0.48</v>
      </c>
      <c r="K96" s="53">
        <v>0.5</v>
      </c>
      <c r="L96" s="236">
        <v>0.48</v>
      </c>
      <c r="M96" s="234">
        <v>0.59</v>
      </c>
      <c r="N96" s="53">
        <v>0.5</v>
      </c>
      <c r="P96" s="268" t="s">
        <v>250</v>
      </c>
      <c r="Q96" s="276" t="s">
        <v>746</v>
      </c>
    </row>
    <row r="97" spans="1:17" x14ac:dyDescent="0.25">
      <c r="C97" s="262" t="s">
        <v>484</v>
      </c>
      <c r="D97" s="262" t="s">
        <v>707</v>
      </c>
      <c r="E97" s="237">
        <v>0.59</v>
      </c>
      <c r="F97" s="238">
        <v>0.5</v>
      </c>
      <c r="G97" s="238">
        <v>0.55000000000000004</v>
      </c>
      <c r="H97" s="238">
        <v>0.5</v>
      </c>
      <c r="I97" s="238">
        <v>0.5</v>
      </c>
      <c r="J97" s="239">
        <v>0.48</v>
      </c>
      <c r="K97" s="238">
        <v>0.5</v>
      </c>
      <c r="L97" s="239">
        <v>0.48</v>
      </c>
      <c r="M97" s="237">
        <v>0.59</v>
      </c>
      <c r="N97" s="238">
        <v>0.5</v>
      </c>
      <c r="P97" s="268" t="s">
        <v>250</v>
      </c>
      <c r="Q97" s="279" t="s">
        <v>746</v>
      </c>
    </row>
    <row r="98" spans="1:17" x14ac:dyDescent="0.25">
      <c r="C98" s="229" t="s">
        <v>484</v>
      </c>
      <c r="D98" s="258" t="s">
        <v>708</v>
      </c>
      <c r="E98" s="259">
        <v>0.47</v>
      </c>
      <c r="F98" s="260">
        <v>0.37</v>
      </c>
      <c r="G98" s="260">
        <v>0.43</v>
      </c>
      <c r="H98" s="260">
        <v>0.37</v>
      </c>
      <c r="I98" s="260">
        <v>0.39</v>
      </c>
      <c r="J98" s="261">
        <v>0.36</v>
      </c>
      <c r="K98" s="260">
        <v>0.39</v>
      </c>
      <c r="L98" s="261">
        <v>0.36</v>
      </c>
      <c r="M98" s="259">
        <v>0.47</v>
      </c>
      <c r="N98" s="260">
        <v>0.37</v>
      </c>
      <c r="P98" s="268" t="s">
        <v>250</v>
      </c>
      <c r="Q98" s="278" t="s">
        <v>747</v>
      </c>
    </row>
    <row r="99" spans="1:17" x14ac:dyDescent="0.25">
      <c r="C99" s="258" t="s">
        <v>484</v>
      </c>
      <c r="D99" s="258" t="s">
        <v>709</v>
      </c>
      <c r="E99" s="234">
        <v>0.47</v>
      </c>
      <c r="F99" s="53">
        <v>0.37</v>
      </c>
      <c r="G99" s="53">
        <v>0.43</v>
      </c>
      <c r="H99" s="53">
        <v>0.37</v>
      </c>
      <c r="I99" s="53">
        <v>0.39</v>
      </c>
      <c r="J99" s="236">
        <v>0.36</v>
      </c>
      <c r="K99" s="53">
        <v>0.39</v>
      </c>
      <c r="L99" s="236">
        <v>0.36</v>
      </c>
      <c r="M99" s="234">
        <v>0.47</v>
      </c>
      <c r="N99" s="53">
        <v>0.37</v>
      </c>
      <c r="P99" s="268" t="s">
        <v>250</v>
      </c>
      <c r="Q99" s="276" t="s">
        <v>747</v>
      </c>
    </row>
    <row r="100" spans="1:17" x14ac:dyDescent="0.25">
      <c r="C100" s="258" t="s">
        <v>484</v>
      </c>
      <c r="D100" s="258" t="s">
        <v>710</v>
      </c>
      <c r="E100" s="234">
        <v>0.47</v>
      </c>
      <c r="F100" s="53">
        <v>0.37</v>
      </c>
      <c r="G100" s="53">
        <v>0.43</v>
      </c>
      <c r="H100" s="53">
        <v>0.37</v>
      </c>
      <c r="I100" s="53">
        <v>0.39</v>
      </c>
      <c r="J100" s="236">
        <v>0.36</v>
      </c>
      <c r="K100" s="53">
        <v>0.39</v>
      </c>
      <c r="L100" s="236">
        <v>0.36</v>
      </c>
      <c r="M100" s="234">
        <v>0.47</v>
      </c>
      <c r="N100" s="53">
        <v>0.37</v>
      </c>
      <c r="P100" s="268" t="s">
        <v>250</v>
      </c>
      <c r="Q100" s="276" t="s">
        <v>747</v>
      </c>
    </row>
    <row r="101" spans="1:17" x14ac:dyDescent="0.25">
      <c r="C101" s="262" t="s">
        <v>484</v>
      </c>
      <c r="D101" s="262" t="s">
        <v>711</v>
      </c>
      <c r="E101" s="237">
        <v>0.47</v>
      </c>
      <c r="F101" s="238">
        <v>0.37</v>
      </c>
      <c r="G101" s="238">
        <v>0.43</v>
      </c>
      <c r="H101" s="238">
        <v>0.37</v>
      </c>
      <c r="I101" s="238">
        <v>0.39</v>
      </c>
      <c r="J101" s="239">
        <v>0.36</v>
      </c>
      <c r="K101" s="238">
        <v>0.39</v>
      </c>
      <c r="L101" s="239">
        <v>0.36</v>
      </c>
      <c r="M101" s="237">
        <v>0.47</v>
      </c>
      <c r="N101" s="238">
        <v>0.37</v>
      </c>
      <c r="P101" s="268" t="s">
        <v>250</v>
      </c>
      <c r="Q101" s="279" t="s">
        <v>747</v>
      </c>
    </row>
    <row r="102" spans="1:17" x14ac:dyDescent="0.25">
      <c r="C102" s="229" t="s">
        <v>484</v>
      </c>
      <c r="D102" s="258" t="s">
        <v>712</v>
      </c>
      <c r="E102" s="259">
        <v>0.43</v>
      </c>
      <c r="F102" s="260">
        <v>0.38</v>
      </c>
      <c r="G102" s="260">
        <v>0.39</v>
      </c>
      <c r="H102" s="260">
        <v>0.38</v>
      </c>
      <c r="I102" s="260">
        <v>0.35</v>
      </c>
      <c r="J102" s="261">
        <v>0.37</v>
      </c>
      <c r="K102" s="260">
        <v>0.35</v>
      </c>
      <c r="L102" s="261">
        <v>0.37</v>
      </c>
      <c r="M102" s="259">
        <v>0.43</v>
      </c>
      <c r="N102" s="260">
        <v>0.38</v>
      </c>
      <c r="P102" s="268" t="s">
        <v>250</v>
      </c>
      <c r="Q102" s="278" t="s">
        <v>748</v>
      </c>
    </row>
    <row r="103" spans="1:17" x14ac:dyDescent="0.25">
      <c r="C103" s="258" t="s">
        <v>484</v>
      </c>
      <c r="D103" s="258" t="s">
        <v>713</v>
      </c>
      <c r="E103" s="234">
        <v>0.43</v>
      </c>
      <c r="F103" s="53">
        <v>0.38</v>
      </c>
      <c r="G103" s="53">
        <v>0.39</v>
      </c>
      <c r="H103" s="53">
        <v>0.38</v>
      </c>
      <c r="I103" s="53">
        <v>0.35</v>
      </c>
      <c r="J103" s="236">
        <v>0.37</v>
      </c>
      <c r="K103" s="53">
        <v>0.35</v>
      </c>
      <c r="L103" s="236">
        <v>0.37</v>
      </c>
      <c r="M103" s="234">
        <v>0.43</v>
      </c>
      <c r="N103" s="53">
        <v>0.38</v>
      </c>
      <c r="P103" s="268" t="s">
        <v>250</v>
      </c>
      <c r="Q103" s="276" t="s">
        <v>748</v>
      </c>
    </row>
    <row r="104" spans="1:17" x14ac:dyDescent="0.25">
      <c r="C104" s="258" t="s">
        <v>484</v>
      </c>
      <c r="D104" s="258" t="s">
        <v>714</v>
      </c>
      <c r="E104" s="234">
        <v>0.43</v>
      </c>
      <c r="F104" s="53">
        <v>0.38</v>
      </c>
      <c r="G104" s="53">
        <v>0.39</v>
      </c>
      <c r="H104" s="53">
        <v>0.38</v>
      </c>
      <c r="I104" s="53">
        <v>0.35</v>
      </c>
      <c r="J104" s="236">
        <v>0.37</v>
      </c>
      <c r="K104" s="53">
        <v>0.35</v>
      </c>
      <c r="L104" s="236">
        <v>0.37</v>
      </c>
      <c r="M104" s="234">
        <v>0.43</v>
      </c>
      <c r="N104" s="53">
        <v>0.38</v>
      </c>
      <c r="P104" s="268" t="s">
        <v>250</v>
      </c>
      <c r="Q104" s="276" t="s">
        <v>748</v>
      </c>
    </row>
    <row r="105" spans="1:17" x14ac:dyDescent="0.25">
      <c r="C105" s="262" t="s">
        <v>484</v>
      </c>
      <c r="D105" s="262" t="s">
        <v>715</v>
      </c>
      <c r="E105" s="237">
        <v>0.43</v>
      </c>
      <c r="F105" s="238">
        <v>0.38</v>
      </c>
      <c r="G105" s="238">
        <v>0.39</v>
      </c>
      <c r="H105" s="238">
        <v>0.38</v>
      </c>
      <c r="I105" s="238">
        <v>0.35</v>
      </c>
      <c r="J105" s="239">
        <v>0.37</v>
      </c>
      <c r="K105" s="238">
        <v>0.35</v>
      </c>
      <c r="L105" s="239">
        <v>0.37</v>
      </c>
      <c r="M105" s="237">
        <v>0.43</v>
      </c>
      <c r="N105" s="238">
        <v>0.38</v>
      </c>
      <c r="P105" s="268" t="s">
        <v>250</v>
      </c>
      <c r="Q105" s="279" t="s">
        <v>748</v>
      </c>
    </row>
    <row r="106" spans="1:17" x14ac:dyDescent="0.25">
      <c r="A106" s="138" t="s">
        <v>250</v>
      </c>
      <c r="C106" s="258" t="s">
        <v>484</v>
      </c>
      <c r="D106" s="258"/>
      <c r="E106" s="234">
        <v>0.37</v>
      </c>
      <c r="F106" s="53">
        <v>0.25</v>
      </c>
      <c r="G106" s="53">
        <v>0.37</v>
      </c>
      <c r="H106" s="53">
        <v>0.25</v>
      </c>
      <c r="I106" s="53">
        <v>0.37</v>
      </c>
      <c r="J106" s="236">
        <v>0.25</v>
      </c>
      <c r="K106" s="53">
        <v>0.37</v>
      </c>
      <c r="L106" s="236">
        <v>0.25</v>
      </c>
      <c r="M106" s="234">
        <v>0.37</v>
      </c>
      <c r="N106" s="53">
        <v>0.25</v>
      </c>
      <c r="P106" s="268" t="s">
        <v>250</v>
      </c>
      <c r="Q106" s="280" t="s">
        <v>749</v>
      </c>
    </row>
    <row r="107" spans="1:17" x14ac:dyDescent="0.25">
      <c r="C107" s="229" t="s">
        <v>484</v>
      </c>
      <c r="D107" s="271" t="s">
        <v>716</v>
      </c>
      <c r="E107" s="259">
        <v>0.43</v>
      </c>
      <c r="F107" s="260">
        <v>0.38</v>
      </c>
      <c r="G107" s="260">
        <v>0.39</v>
      </c>
      <c r="H107" s="260">
        <v>0.38</v>
      </c>
      <c r="I107" s="260">
        <v>0.35</v>
      </c>
      <c r="J107" s="261">
        <v>0.37</v>
      </c>
      <c r="K107" s="260">
        <v>0.35</v>
      </c>
      <c r="L107" s="261">
        <v>0.37</v>
      </c>
      <c r="M107" s="259">
        <v>0.43</v>
      </c>
      <c r="N107" s="260">
        <v>0.38</v>
      </c>
      <c r="P107" s="268" t="s">
        <v>250</v>
      </c>
      <c r="Q107" s="273" t="s">
        <v>748</v>
      </c>
    </row>
    <row r="108" spans="1:17" x14ac:dyDescent="0.25">
      <c r="C108" s="258" t="s">
        <v>484</v>
      </c>
      <c r="D108" s="269" t="s">
        <v>717</v>
      </c>
      <c r="E108" s="234">
        <v>0.43</v>
      </c>
      <c r="F108" s="53">
        <v>0.38</v>
      </c>
      <c r="G108" s="53">
        <v>0.39</v>
      </c>
      <c r="H108" s="53">
        <v>0.38</v>
      </c>
      <c r="I108" s="53">
        <v>0.35</v>
      </c>
      <c r="J108" s="236">
        <v>0.37</v>
      </c>
      <c r="K108" s="53">
        <v>0.35</v>
      </c>
      <c r="L108" s="236">
        <v>0.37</v>
      </c>
      <c r="M108" s="234">
        <v>0.43</v>
      </c>
      <c r="N108" s="53">
        <v>0.38</v>
      </c>
      <c r="P108" s="268" t="s">
        <v>250</v>
      </c>
      <c r="Q108" s="272" t="s">
        <v>748</v>
      </c>
    </row>
    <row r="109" spans="1:17" x14ac:dyDescent="0.25">
      <c r="C109" s="258" t="s">
        <v>484</v>
      </c>
      <c r="D109" s="269" t="s">
        <v>718</v>
      </c>
      <c r="E109" s="234">
        <v>0.43</v>
      </c>
      <c r="F109" s="53">
        <v>0.38</v>
      </c>
      <c r="G109" s="53">
        <v>0.39</v>
      </c>
      <c r="H109" s="53">
        <v>0.38</v>
      </c>
      <c r="I109" s="53">
        <v>0.35</v>
      </c>
      <c r="J109" s="236">
        <v>0.37</v>
      </c>
      <c r="K109" s="53">
        <v>0.35</v>
      </c>
      <c r="L109" s="236">
        <v>0.37</v>
      </c>
      <c r="M109" s="234">
        <v>0.43</v>
      </c>
      <c r="N109" s="53">
        <v>0.38</v>
      </c>
      <c r="P109" s="268" t="s">
        <v>250</v>
      </c>
      <c r="Q109" s="272" t="s">
        <v>748</v>
      </c>
    </row>
    <row r="110" spans="1:17" x14ac:dyDescent="0.25">
      <c r="C110" s="258" t="s">
        <v>484</v>
      </c>
      <c r="D110" s="269" t="s">
        <v>719</v>
      </c>
      <c r="E110" s="234">
        <v>0.43</v>
      </c>
      <c r="F110" s="53">
        <v>0.38</v>
      </c>
      <c r="G110" s="53">
        <v>0.39</v>
      </c>
      <c r="H110" s="53">
        <v>0.38</v>
      </c>
      <c r="I110" s="53">
        <v>0.35</v>
      </c>
      <c r="J110" s="236">
        <v>0.37</v>
      </c>
      <c r="K110" s="53">
        <v>0.35</v>
      </c>
      <c r="L110" s="236">
        <v>0.37</v>
      </c>
      <c r="M110" s="234">
        <v>0.43</v>
      </c>
      <c r="N110" s="53">
        <v>0.38</v>
      </c>
      <c r="P110" s="268" t="s">
        <v>250</v>
      </c>
      <c r="Q110" s="272" t="s">
        <v>748</v>
      </c>
    </row>
    <row r="111" spans="1:17" x14ac:dyDescent="0.25">
      <c r="C111" s="229" t="s">
        <v>484</v>
      </c>
      <c r="D111" s="229" t="s">
        <v>720</v>
      </c>
      <c r="E111" s="259">
        <v>0.42</v>
      </c>
      <c r="F111" s="260">
        <v>0.22</v>
      </c>
      <c r="G111" s="260">
        <v>0.37</v>
      </c>
      <c r="H111" s="260">
        <v>0.22</v>
      </c>
      <c r="I111" s="260">
        <v>0.34</v>
      </c>
      <c r="J111" s="261">
        <v>0.21</v>
      </c>
      <c r="K111" s="260">
        <v>0.34</v>
      </c>
      <c r="L111" s="261">
        <v>0.21</v>
      </c>
      <c r="M111" s="259">
        <v>0.42</v>
      </c>
      <c r="N111" s="260">
        <v>0.22</v>
      </c>
      <c r="P111" s="268" t="s">
        <v>250</v>
      </c>
      <c r="Q111" s="278" t="s">
        <v>750</v>
      </c>
    </row>
    <row r="112" spans="1:17" x14ac:dyDescent="0.25">
      <c r="C112" s="258" t="s">
        <v>484</v>
      </c>
      <c r="D112" s="258" t="s">
        <v>721</v>
      </c>
      <c r="E112" s="234">
        <v>0.42</v>
      </c>
      <c r="F112" s="53">
        <v>0.22</v>
      </c>
      <c r="G112" s="53">
        <v>0.37</v>
      </c>
      <c r="H112" s="53">
        <v>0.22</v>
      </c>
      <c r="I112" s="53">
        <v>0.34</v>
      </c>
      <c r="J112" s="236">
        <v>0.21</v>
      </c>
      <c r="K112" s="53">
        <v>0.34</v>
      </c>
      <c r="L112" s="236">
        <v>0.21</v>
      </c>
      <c r="M112" s="234">
        <v>0.42</v>
      </c>
      <c r="N112" s="53">
        <v>0.22</v>
      </c>
      <c r="P112" s="268" t="s">
        <v>250</v>
      </c>
      <c r="Q112" s="276" t="s">
        <v>750</v>
      </c>
    </row>
    <row r="113" spans="1:17" x14ac:dyDescent="0.25">
      <c r="C113" s="258" t="s">
        <v>484</v>
      </c>
      <c r="D113" s="258" t="s">
        <v>722</v>
      </c>
      <c r="E113" s="234">
        <v>0.42</v>
      </c>
      <c r="F113" s="53">
        <v>0.22</v>
      </c>
      <c r="G113" s="53">
        <v>0.37</v>
      </c>
      <c r="H113" s="53">
        <v>0.22</v>
      </c>
      <c r="I113" s="53">
        <v>0.34</v>
      </c>
      <c r="J113" s="236">
        <v>0.21</v>
      </c>
      <c r="K113" s="53">
        <v>0.34</v>
      </c>
      <c r="L113" s="236">
        <v>0.21</v>
      </c>
      <c r="M113" s="234">
        <v>0.42</v>
      </c>
      <c r="N113" s="53">
        <v>0.22</v>
      </c>
      <c r="P113" s="268" t="s">
        <v>250</v>
      </c>
      <c r="Q113" s="276" t="s">
        <v>750</v>
      </c>
    </row>
    <row r="114" spans="1:17" x14ac:dyDescent="0.25">
      <c r="C114" s="262" t="s">
        <v>484</v>
      </c>
      <c r="D114" s="262" t="s">
        <v>723</v>
      </c>
      <c r="E114" s="237">
        <v>0.42</v>
      </c>
      <c r="F114" s="238">
        <v>0.22</v>
      </c>
      <c r="G114" s="238">
        <v>0.37</v>
      </c>
      <c r="H114" s="238">
        <v>0.22</v>
      </c>
      <c r="I114" s="238">
        <v>0.34</v>
      </c>
      <c r="J114" s="239">
        <v>0.21</v>
      </c>
      <c r="K114" s="238">
        <v>0.34</v>
      </c>
      <c r="L114" s="239">
        <v>0.21</v>
      </c>
      <c r="M114" s="237">
        <v>0.42</v>
      </c>
      <c r="N114" s="238">
        <v>0.22</v>
      </c>
      <c r="P114" s="268" t="s">
        <v>250</v>
      </c>
      <c r="Q114" s="279" t="s">
        <v>750</v>
      </c>
    </row>
    <row r="115" spans="1:17" x14ac:dyDescent="0.25">
      <c r="A115" s="138" t="s">
        <v>250</v>
      </c>
      <c r="C115" s="258" t="s">
        <v>484</v>
      </c>
      <c r="D115" s="258"/>
      <c r="E115" s="234">
        <v>0.53</v>
      </c>
      <c r="F115" s="53">
        <v>0.45</v>
      </c>
      <c r="G115" s="53">
        <v>0.49</v>
      </c>
      <c r="H115" s="53">
        <v>0.45</v>
      </c>
      <c r="I115" s="53">
        <v>0.45</v>
      </c>
      <c r="J115" s="236">
        <v>0.44</v>
      </c>
      <c r="K115" s="53">
        <v>0.45</v>
      </c>
      <c r="L115" s="236">
        <v>0.44</v>
      </c>
      <c r="M115" s="234">
        <v>0.53</v>
      </c>
      <c r="N115" s="53">
        <v>0.45</v>
      </c>
      <c r="P115" s="268" t="s">
        <v>250</v>
      </c>
      <c r="Q115" s="280" t="s">
        <v>751</v>
      </c>
    </row>
    <row r="116" spans="1:17" x14ac:dyDescent="0.25">
      <c r="C116" s="229" t="s">
        <v>484</v>
      </c>
      <c r="D116" s="229" t="s">
        <v>724</v>
      </c>
      <c r="E116" s="259">
        <v>0.42</v>
      </c>
      <c r="F116" s="260">
        <v>0.33</v>
      </c>
      <c r="G116" s="260">
        <v>0.38</v>
      </c>
      <c r="H116" s="260">
        <v>0.33</v>
      </c>
      <c r="I116" s="260">
        <v>0.35</v>
      </c>
      <c r="J116" s="261">
        <v>0.32</v>
      </c>
      <c r="K116" s="260">
        <v>0.35</v>
      </c>
      <c r="L116" s="261">
        <v>0.32</v>
      </c>
      <c r="M116" s="259">
        <v>0.42</v>
      </c>
      <c r="N116" s="260">
        <v>0.33</v>
      </c>
      <c r="P116" s="268" t="s">
        <v>250</v>
      </c>
      <c r="Q116" s="278" t="s">
        <v>752</v>
      </c>
    </row>
    <row r="117" spans="1:17" x14ac:dyDescent="0.25">
      <c r="C117" s="258" t="s">
        <v>484</v>
      </c>
      <c r="D117" s="258" t="s">
        <v>725</v>
      </c>
      <c r="E117" s="234">
        <v>0.42</v>
      </c>
      <c r="F117" s="53">
        <v>0.33</v>
      </c>
      <c r="G117" s="53">
        <v>0.38</v>
      </c>
      <c r="H117" s="53">
        <v>0.33</v>
      </c>
      <c r="I117" s="53">
        <v>0.35</v>
      </c>
      <c r="J117" s="236">
        <v>0.32</v>
      </c>
      <c r="K117" s="53">
        <v>0.35</v>
      </c>
      <c r="L117" s="236">
        <v>0.32</v>
      </c>
      <c r="M117" s="234">
        <v>0.42</v>
      </c>
      <c r="N117" s="53">
        <v>0.33</v>
      </c>
      <c r="P117" s="268" t="s">
        <v>250</v>
      </c>
      <c r="Q117" s="276" t="s">
        <v>752</v>
      </c>
    </row>
    <row r="118" spans="1:17" x14ac:dyDescent="0.25">
      <c r="C118" s="258" t="s">
        <v>484</v>
      </c>
      <c r="D118" s="258" t="s">
        <v>726</v>
      </c>
      <c r="E118" s="234">
        <v>0.42</v>
      </c>
      <c r="F118" s="53">
        <v>0.33</v>
      </c>
      <c r="G118" s="53">
        <v>0.38</v>
      </c>
      <c r="H118" s="53">
        <v>0.33</v>
      </c>
      <c r="I118" s="53">
        <v>0.35</v>
      </c>
      <c r="J118" s="236">
        <v>0.32</v>
      </c>
      <c r="K118" s="53">
        <v>0.35</v>
      </c>
      <c r="L118" s="236">
        <v>0.32</v>
      </c>
      <c r="M118" s="234">
        <v>0.42</v>
      </c>
      <c r="N118" s="53">
        <v>0.33</v>
      </c>
      <c r="P118" s="268" t="s">
        <v>250</v>
      </c>
      <c r="Q118" s="276" t="s">
        <v>752</v>
      </c>
    </row>
    <row r="119" spans="1:17" x14ac:dyDescent="0.25">
      <c r="C119" s="262" t="s">
        <v>484</v>
      </c>
      <c r="D119" s="262" t="s">
        <v>727</v>
      </c>
      <c r="E119" s="237">
        <v>0.42</v>
      </c>
      <c r="F119" s="238">
        <v>0.33</v>
      </c>
      <c r="G119" s="238">
        <v>0.38</v>
      </c>
      <c r="H119" s="238">
        <v>0.33</v>
      </c>
      <c r="I119" s="238">
        <v>0.35</v>
      </c>
      <c r="J119" s="239">
        <v>0.32</v>
      </c>
      <c r="K119" s="238">
        <v>0.35</v>
      </c>
      <c r="L119" s="239">
        <v>0.32</v>
      </c>
      <c r="M119" s="237">
        <v>0.42</v>
      </c>
      <c r="N119" s="238">
        <v>0.33</v>
      </c>
      <c r="P119" s="268" t="s">
        <v>250</v>
      </c>
      <c r="Q119" s="279" t="s">
        <v>752</v>
      </c>
    </row>
    <row r="120" spans="1:17" x14ac:dyDescent="0.25">
      <c r="A120" s="138" t="s">
        <v>250</v>
      </c>
      <c r="C120" s="258" t="s">
        <v>484</v>
      </c>
      <c r="D120" s="258"/>
      <c r="E120" s="234">
        <v>0.39</v>
      </c>
      <c r="F120" s="53">
        <v>0.34</v>
      </c>
      <c r="G120" s="53">
        <v>0.35</v>
      </c>
      <c r="H120" s="53">
        <v>0.34</v>
      </c>
      <c r="I120" s="53">
        <v>0.31</v>
      </c>
      <c r="J120" s="236">
        <v>0.33</v>
      </c>
      <c r="K120" s="53">
        <v>0.31</v>
      </c>
      <c r="L120" s="236">
        <v>0.33</v>
      </c>
      <c r="M120" s="234">
        <v>0.39</v>
      </c>
      <c r="N120" s="53">
        <v>0.34</v>
      </c>
      <c r="P120" s="268" t="s">
        <v>250</v>
      </c>
      <c r="Q120" s="280" t="s">
        <v>754</v>
      </c>
    </row>
    <row r="121" spans="1:17" x14ac:dyDescent="0.25">
      <c r="A121" s="138" t="s">
        <v>250</v>
      </c>
      <c r="C121" s="182" t="s">
        <v>484</v>
      </c>
      <c r="D121" s="182"/>
      <c r="E121" s="254">
        <v>0.51</v>
      </c>
      <c r="F121" s="255">
        <v>0.43</v>
      </c>
      <c r="G121" s="255">
        <v>0.47</v>
      </c>
      <c r="H121" s="255">
        <v>0.43</v>
      </c>
      <c r="I121" s="255">
        <v>0.43</v>
      </c>
      <c r="J121" s="256">
        <v>0.42</v>
      </c>
      <c r="K121" s="255">
        <v>0.43</v>
      </c>
      <c r="L121" s="256">
        <v>0.42</v>
      </c>
      <c r="M121" s="254">
        <v>0.51</v>
      </c>
      <c r="N121" s="255">
        <v>0.43</v>
      </c>
      <c r="P121" s="268" t="s">
        <v>250</v>
      </c>
      <c r="Q121" s="281" t="s">
        <v>753</v>
      </c>
    </row>
    <row r="122" spans="1:17" x14ac:dyDescent="0.25">
      <c r="C122" s="229" t="s">
        <v>484</v>
      </c>
      <c r="D122" s="229" t="s">
        <v>728</v>
      </c>
      <c r="E122" s="259">
        <v>0.4</v>
      </c>
      <c r="F122" s="260">
        <v>0.31</v>
      </c>
      <c r="G122" s="260">
        <v>0.36</v>
      </c>
      <c r="H122" s="260">
        <v>0.31</v>
      </c>
      <c r="I122" s="260">
        <v>0.32</v>
      </c>
      <c r="J122" s="261">
        <v>0.28999999999999998</v>
      </c>
      <c r="K122" s="260">
        <v>0.32</v>
      </c>
      <c r="L122" s="261">
        <v>0.28999999999999998</v>
      </c>
      <c r="M122" s="259">
        <v>0.4</v>
      </c>
      <c r="N122" s="260">
        <v>0.31</v>
      </c>
      <c r="P122" s="268" t="s">
        <v>250</v>
      </c>
      <c r="Q122" s="278" t="s">
        <v>755</v>
      </c>
    </row>
    <row r="123" spans="1:17" x14ac:dyDescent="0.25">
      <c r="C123" s="258" t="s">
        <v>484</v>
      </c>
      <c r="D123" s="258" t="s">
        <v>729</v>
      </c>
      <c r="E123" s="234">
        <v>0.4</v>
      </c>
      <c r="F123" s="53">
        <v>0.31</v>
      </c>
      <c r="G123" s="53">
        <v>0.36</v>
      </c>
      <c r="H123" s="53">
        <v>0.31</v>
      </c>
      <c r="I123" s="53">
        <v>0.32</v>
      </c>
      <c r="J123" s="236">
        <v>0.28999999999999998</v>
      </c>
      <c r="K123" s="53">
        <v>0.32</v>
      </c>
      <c r="L123" s="236">
        <v>0.28999999999999998</v>
      </c>
      <c r="M123" s="234">
        <v>0.4</v>
      </c>
      <c r="N123" s="53">
        <v>0.31</v>
      </c>
      <c r="P123" s="268" t="s">
        <v>250</v>
      </c>
      <c r="Q123" s="276" t="s">
        <v>755</v>
      </c>
    </row>
    <row r="124" spans="1:17" x14ac:dyDescent="0.25">
      <c r="C124" s="258" t="s">
        <v>484</v>
      </c>
      <c r="D124" s="258" t="s">
        <v>730</v>
      </c>
      <c r="E124" s="234">
        <v>0.4</v>
      </c>
      <c r="F124" s="53">
        <v>0.31</v>
      </c>
      <c r="G124" s="53">
        <v>0.36</v>
      </c>
      <c r="H124" s="53">
        <v>0.31</v>
      </c>
      <c r="I124" s="53">
        <v>0.32</v>
      </c>
      <c r="J124" s="236">
        <v>0.28999999999999998</v>
      </c>
      <c r="K124" s="53">
        <v>0.32</v>
      </c>
      <c r="L124" s="236">
        <v>0.28999999999999998</v>
      </c>
      <c r="M124" s="234">
        <v>0.4</v>
      </c>
      <c r="N124" s="53">
        <v>0.31</v>
      </c>
      <c r="P124" s="268" t="s">
        <v>250</v>
      </c>
      <c r="Q124" s="276" t="s">
        <v>755</v>
      </c>
    </row>
    <row r="125" spans="1:17" x14ac:dyDescent="0.25">
      <c r="C125" s="262" t="s">
        <v>484</v>
      </c>
      <c r="D125" s="262" t="s">
        <v>731</v>
      </c>
      <c r="E125" s="237">
        <v>0.4</v>
      </c>
      <c r="F125" s="238">
        <v>0.31</v>
      </c>
      <c r="G125" s="238">
        <v>0.36</v>
      </c>
      <c r="H125" s="238">
        <v>0.31</v>
      </c>
      <c r="I125" s="238">
        <v>0.32</v>
      </c>
      <c r="J125" s="239">
        <v>0.28999999999999998</v>
      </c>
      <c r="K125" s="238">
        <v>0.32</v>
      </c>
      <c r="L125" s="239">
        <v>0.28999999999999998</v>
      </c>
      <c r="M125" s="237">
        <v>0.4</v>
      </c>
      <c r="N125" s="238">
        <v>0.31</v>
      </c>
      <c r="P125" s="268" t="s">
        <v>250</v>
      </c>
      <c r="Q125" s="279" t="s">
        <v>755</v>
      </c>
    </row>
    <row r="126" spans="1:17" x14ac:dyDescent="0.25">
      <c r="C126" s="229" t="s">
        <v>484</v>
      </c>
      <c r="D126" s="229" t="s">
        <v>732</v>
      </c>
      <c r="E126" s="259">
        <v>0.34</v>
      </c>
      <c r="F126" s="260">
        <v>0.32</v>
      </c>
      <c r="G126" s="260">
        <v>0.3</v>
      </c>
      <c r="H126" s="260">
        <v>0.32</v>
      </c>
      <c r="I126" s="260">
        <v>0.27</v>
      </c>
      <c r="J126" s="261">
        <v>0.31</v>
      </c>
      <c r="K126" s="260">
        <v>0.27</v>
      </c>
      <c r="L126" s="261">
        <v>0.31</v>
      </c>
      <c r="M126" s="259">
        <v>0.34</v>
      </c>
      <c r="N126" s="260">
        <v>0.32</v>
      </c>
      <c r="P126" s="268" t="s">
        <v>250</v>
      </c>
      <c r="Q126" s="278" t="s">
        <v>756</v>
      </c>
    </row>
    <row r="127" spans="1:17" x14ac:dyDescent="0.25">
      <c r="C127" s="258" t="s">
        <v>484</v>
      </c>
      <c r="D127" s="258" t="s">
        <v>733</v>
      </c>
      <c r="E127" s="234">
        <v>0.34</v>
      </c>
      <c r="F127" s="53">
        <v>0.32</v>
      </c>
      <c r="G127" s="53">
        <v>0.3</v>
      </c>
      <c r="H127" s="53">
        <v>0.32</v>
      </c>
      <c r="I127" s="53">
        <v>0.27</v>
      </c>
      <c r="J127" s="236">
        <v>0.31</v>
      </c>
      <c r="K127" s="53">
        <v>0.27</v>
      </c>
      <c r="L127" s="236">
        <v>0.31</v>
      </c>
      <c r="M127" s="234">
        <v>0.34</v>
      </c>
      <c r="N127" s="53">
        <v>0.32</v>
      </c>
      <c r="P127" s="268" t="s">
        <v>250</v>
      </c>
      <c r="Q127" s="276" t="s">
        <v>756</v>
      </c>
    </row>
    <row r="128" spans="1:17" x14ac:dyDescent="0.25">
      <c r="C128" s="258" t="s">
        <v>484</v>
      </c>
      <c r="D128" s="258" t="s">
        <v>734</v>
      </c>
      <c r="E128" s="234">
        <v>0.34</v>
      </c>
      <c r="F128" s="53">
        <v>0.32</v>
      </c>
      <c r="G128" s="53">
        <v>0.3</v>
      </c>
      <c r="H128" s="53">
        <v>0.32</v>
      </c>
      <c r="I128" s="53">
        <v>0.27</v>
      </c>
      <c r="J128" s="236">
        <v>0.31</v>
      </c>
      <c r="K128" s="53">
        <v>0.27</v>
      </c>
      <c r="L128" s="236">
        <v>0.31</v>
      </c>
      <c r="M128" s="234">
        <v>0.34</v>
      </c>
      <c r="N128" s="53">
        <v>0.32</v>
      </c>
      <c r="P128" s="268" t="s">
        <v>250</v>
      </c>
      <c r="Q128" s="276" t="s">
        <v>756</v>
      </c>
    </row>
    <row r="129" spans="1:17" x14ac:dyDescent="0.25">
      <c r="C129" s="262" t="s">
        <v>484</v>
      </c>
      <c r="D129" s="262" t="s">
        <v>735</v>
      </c>
      <c r="E129" s="237">
        <v>0.34</v>
      </c>
      <c r="F129" s="238">
        <v>0.32</v>
      </c>
      <c r="G129" s="238">
        <v>0.3</v>
      </c>
      <c r="H129" s="238">
        <v>0.32</v>
      </c>
      <c r="I129" s="238">
        <v>0.27</v>
      </c>
      <c r="J129" s="239">
        <v>0.31</v>
      </c>
      <c r="K129" s="238">
        <v>0.27</v>
      </c>
      <c r="L129" s="239">
        <v>0.31</v>
      </c>
      <c r="M129" s="237">
        <v>0.34</v>
      </c>
      <c r="N129" s="238">
        <v>0.32</v>
      </c>
      <c r="P129" s="268" t="s">
        <v>250</v>
      </c>
      <c r="Q129" s="279" t="s">
        <v>756</v>
      </c>
    </row>
    <row r="130" spans="1:17" x14ac:dyDescent="0.25">
      <c r="A130" s="138" t="s">
        <v>250</v>
      </c>
      <c r="C130" s="258" t="s">
        <v>484</v>
      </c>
      <c r="D130" s="258"/>
      <c r="E130" s="234">
        <v>0.3</v>
      </c>
      <c r="F130" s="53">
        <v>0.23</v>
      </c>
      <c r="G130" s="53">
        <v>0.3</v>
      </c>
      <c r="H130" s="53">
        <v>0.23</v>
      </c>
      <c r="I130" s="53">
        <v>30</v>
      </c>
      <c r="J130" s="236">
        <v>0.23</v>
      </c>
      <c r="K130" s="53">
        <v>30</v>
      </c>
      <c r="L130" s="236">
        <v>0.23</v>
      </c>
      <c r="M130" s="234">
        <v>0.3</v>
      </c>
      <c r="N130" s="53">
        <v>0.23</v>
      </c>
      <c r="P130" s="268" t="s">
        <v>250</v>
      </c>
      <c r="Q130" s="280" t="s">
        <v>758</v>
      </c>
    </row>
    <row r="131" spans="1:17" x14ac:dyDescent="0.25">
      <c r="C131" s="229" t="s">
        <v>484</v>
      </c>
      <c r="D131" s="229" t="s">
        <v>736</v>
      </c>
      <c r="E131" s="259">
        <v>0.3</v>
      </c>
      <c r="F131" s="260">
        <v>0.28999999999999998</v>
      </c>
      <c r="G131" s="260">
        <v>0.26</v>
      </c>
      <c r="H131" s="260">
        <v>0.28999999999999998</v>
      </c>
      <c r="I131" s="260">
        <v>0.23</v>
      </c>
      <c r="J131" s="261">
        <v>0.28000000000000003</v>
      </c>
      <c r="K131" s="260">
        <v>0.23</v>
      </c>
      <c r="L131" s="261">
        <v>0.28000000000000003</v>
      </c>
      <c r="M131" s="259">
        <v>0.3</v>
      </c>
      <c r="N131" s="260">
        <v>0.28999999999999998</v>
      </c>
      <c r="P131" s="268" t="s">
        <v>250</v>
      </c>
      <c r="Q131" s="278" t="s">
        <v>757</v>
      </c>
    </row>
    <row r="132" spans="1:17" x14ac:dyDescent="0.25">
      <c r="C132" s="258" t="s">
        <v>484</v>
      </c>
      <c r="D132" s="258" t="s">
        <v>737</v>
      </c>
      <c r="E132" s="234">
        <v>0.3</v>
      </c>
      <c r="F132" s="53">
        <v>0.28999999999999998</v>
      </c>
      <c r="G132" s="53">
        <v>0.26</v>
      </c>
      <c r="H132" s="53">
        <v>0.28999999999999998</v>
      </c>
      <c r="I132" s="53">
        <v>0.23</v>
      </c>
      <c r="J132" s="236">
        <v>0.28000000000000003</v>
      </c>
      <c r="K132" s="53">
        <v>0.23</v>
      </c>
      <c r="L132" s="236">
        <v>0.28000000000000003</v>
      </c>
      <c r="M132" s="234">
        <v>0.3</v>
      </c>
      <c r="N132" s="53">
        <v>0.28999999999999998</v>
      </c>
      <c r="P132" s="268" t="s">
        <v>250</v>
      </c>
      <c r="Q132" s="276" t="s">
        <v>757</v>
      </c>
    </row>
    <row r="133" spans="1:17" x14ac:dyDescent="0.25">
      <c r="C133" s="258" t="s">
        <v>484</v>
      </c>
      <c r="D133" s="258" t="s">
        <v>738</v>
      </c>
      <c r="E133" s="234">
        <v>0.3</v>
      </c>
      <c r="F133" s="53">
        <v>0.28999999999999998</v>
      </c>
      <c r="G133" s="53">
        <v>0.26</v>
      </c>
      <c r="H133" s="53">
        <v>0.28999999999999998</v>
      </c>
      <c r="I133" s="53">
        <v>0.23</v>
      </c>
      <c r="J133" s="236">
        <v>0.28000000000000003</v>
      </c>
      <c r="K133" s="53">
        <v>0.23</v>
      </c>
      <c r="L133" s="236">
        <v>0.28000000000000003</v>
      </c>
      <c r="M133" s="234">
        <v>0.3</v>
      </c>
      <c r="N133" s="53">
        <v>0.28999999999999998</v>
      </c>
      <c r="P133" s="268" t="s">
        <v>250</v>
      </c>
      <c r="Q133" s="276" t="s">
        <v>757</v>
      </c>
    </row>
    <row r="134" spans="1:17" x14ac:dyDescent="0.25">
      <c r="C134" s="262" t="s">
        <v>484</v>
      </c>
      <c r="D134" s="262" t="s">
        <v>739</v>
      </c>
      <c r="E134" s="237">
        <v>0.3</v>
      </c>
      <c r="F134" s="238">
        <v>0.28999999999999998</v>
      </c>
      <c r="G134" s="238">
        <v>0.26</v>
      </c>
      <c r="H134" s="238">
        <v>0.28999999999999998</v>
      </c>
      <c r="I134" s="238">
        <v>0.23</v>
      </c>
      <c r="J134" s="239">
        <v>0.28000000000000003</v>
      </c>
      <c r="K134" s="238">
        <v>0.23</v>
      </c>
      <c r="L134" s="239">
        <v>0.28000000000000003</v>
      </c>
      <c r="M134" s="237">
        <v>0.3</v>
      </c>
      <c r="N134" s="238">
        <v>0.28999999999999998</v>
      </c>
      <c r="P134" s="268" t="s">
        <v>250</v>
      </c>
      <c r="Q134" s="279" t="s">
        <v>757</v>
      </c>
    </row>
    <row r="135" spans="1:17" x14ac:dyDescent="0.25">
      <c r="C135" s="182" t="s">
        <v>484</v>
      </c>
      <c r="D135" s="275" t="s">
        <v>740</v>
      </c>
      <c r="E135" s="237">
        <v>0.3</v>
      </c>
      <c r="F135" s="238">
        <v>0.28999999999999998</v>
      </c>
      <c r="G135" s="238">
        <v>0.26</v>
      </c>
      <c r="H135" s="238">
        <v>0.28999999999999998</v>
      </c>
      <c r="I135" s="238">
        <v>0.23</v>
      </c>
      <c r="J135" s="239">
        <v>0.28000000000000003</v>
      </c>
      <c r="K135" s="238">
        <v>0.23</v>
      </c>
      <c r="L135" s="239">
        <v>0.28000000000000003</v>
      </c>
      <c r="M135" s="237">
        <v>0.3</v>
      </c>
      <c r="N135" s="238">
        <v>0.28999999999999998</v>
      </c>
      <c r="P135" s="268" t="s">
        <v>250</v>
      </c>
      <c r="Q135" s="274" t="s">
        <v>757</v>
      </c>
    </row>
    <row r="136" spans="1:17" x14ac:dyDescent="0.25">
      <c r="A136" s="138" t="s">
        <v>250</v>
      </c>
      <c r="C136" s="182" t="s">
        <v>484</v>
      </c>
      <c r="D136" s="182"/>
      <c r="E136" s="254">
        <v>0.27</v>
      </c>
      <c r="F136" s="255">
        <v>0.25</v>
      </c>
      <c r="G136" s="255">
        <v>0.27</v>
      </c>
      <c r="H136" s="255">
        <v>0.25</v>
      </c>
      <c r="I136" s="255">
        <v>0.27</v>
      </c>
      <c r="J136" s="256">
        <v>0.25</v>
      </c>
      <c r="K136" s="255">
        <v>0.27</v>
      </c>
      <c r="L136" s="256">
        <v>0.25</v>
      </c>
      <c r="M136" s="254">
        <v>0.27</v>
      </c>
      <c r="N136" s="255">
        <v>0.25</v>
      </c>
      <c r="P136" s="268" t="s">
        <v>250</v>
      </c>
      <c r="Q136" s="282" t="s">
        <v>759</v>
      </c>
    </row>
    <row r="137" spans="1:17" x14ac:dyDescent="0.25">
      <c r="B137" s="138" t="s">
        <v>245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8" tint="0.39997558519241921"/>
  </sheetPr>
  <dimension ref="A1:Q87"/>
  <sheetViews>
    <sheetView zoomScaleNormal="100" workbookViewId="0">
      <selection activeCell="N43" sqref="N43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s="39" customFormat="1" x14ac:dyDescent="0.25">
      <c r="A1" s="126" t="s">
        <v>250</v>
      </c>
      <c r="B1" s="126" t="s">
        <v>924</v>
      </c>
      <c r="C1" s="126"/>
      <c r="D1" s="126"/>
      <c r="E1" s="126"/>
    </row>
    <row r="2" spans="1:5" s="39" customFormat="1" x14ac:dyDescent="0.25">
      <c r="A2" s="126" t="s">
        <v>250</v>
      </c>
      <c r="B2" s="126"/>
      <c r="C2" s="126"/>
      <c r="D2" s="126"/>
      <c r="E2" s="126"/>
    </row>
    <row r="3" spans="1:5" s="39" customFormat="1" x14ac:dyDescent="0.25">
      <c r="A3" s="126" t="s">
        <v>250</v>
      </c>
      <c r="B3" s="126" t="s">
        <v>357</v>
      </c>
      <c r="C3" s="126"/>
      <c r="D3" s="126"/>
      <c r="E3" s="126"/>
    </row>
    <row r="4" spans="1:5" s="39" customFormat="1" x14ac:dyDescent="0.25">
      <c r="A4" s="126" t="s">
        <v>250</v>
      </c>
      <c r="B4" s="126"/>
      <c r="C4" s="126" t="s">
        <v>503</v>
      </c>
      <c r="D4" s="126"/>
      <c r="E4" s="126"/>
    </row>
    <row r="5" spans="1:5" s="39" customFormat="1" x14ac:dyDescent="0.25">
      <c r="A5" s="126" t="s">
        <v>250</v>
      </c>
      <c r="B5" s="126"/>
      <c r="C5" s="126"/>
      <c r="D5" s="126"/>
      <c r="E5" s="126"/>
    </row>
    <row r="6" spans="1:5" s="39" customFormat="1" x14ac:dyDescent="0.25">
      <c r="A6" s="126" t="s">
        <v>250</v>
      </c>
      <c r="B6" s="126" t="s">
        <v>358</v>
      </c>
      <c r="C6" s="126"/>
      <c r="D6" s="126"/>
      <c r="E6" s="126"/>
    </row>
    <row r="7" spans="1:5" x14ac:dyDescent="0.25">
      <c r="A7" s="126" t="s">
        <v>250</v>
      </c>
      <c r="B7" s="126"/>
      <c r="C7" s="126" t="s">
        <v>263</v>
      </c>
      <c r="D7" s="126" t="s">
        <v>264</v>
      </c>
      <c r="E7" s="126" t="s">
        <v>265</v>
      </c>
    </row>
    <row r="8" spans="1:5" x14ac:dyDescent="0.25">
      <c r="A8" s="126" t="s">
        <v>250</v>
      </c>
      <c r="B8" s="129"/>
      <c r="C8" s="133">
        <v>41186</v>
      </c>
      <c r="D8" s="134" t="s">
        <v>387</v>
      </c>
      <c r="E8" s="126" t="s">
        <v>266</v>
      </c>
    </row>
    <row r="9" spans="1:5" s="39" customFormat="1" x14ac:dyDescent="0.25">
      <c r="A9" s="126" t="s">
        <v>250</v>
      </c>
      <c r="B9" s="129"/>
      <c r="C9" s="133">
        <v>41203</v>
      </c>
      <c r="D9" s="134" t="s">
        <v>387</v>
      </c>
      <c r="E9" s="126" t="s">
        <v>386</v>
      </c>
    </row>
    <row r="10" spans="1:5" s="39" customFormat="1" x14ac:dyDescent="0.25">
      <c r="A10" s="126" t="s">
        <v>250</v>
      </c>
      <c r="B10" s="129"/>
      <c r="C10" s="133">
        <v>41217</v>
      </c>
      <c r="D10" s="134" t="s">
        <v>411</v>
      </c>
      <c r="E10" s="126" t="s">
        <v>504</v>
      </c>
    </row>
    <row r="11" spans="1:5" x14ac:dyDescent="0.25">
      <c r="A11" s="126" t="s">
        <v>250</v>
      </c>
      <c r="B11" s="129"/>
      <c r="C11" s="133"/>
      <c r="D11" s="126"/>
      <c r="E11" s="126"/>
    </row>
    <row r="12" spans="1:5" s="39" customFormat="1" x14ac:dyDescent="0.25">
      <c r="A12" s="126" t="s">
        <v>250</v>
      </c>
      <c r="B12" s="126" t="s">
        <v>359</v>
      </c>
      <c r="C12" s="126"/>
      <c r="D12" s="126"/>
      <c r="E12" s="126"/>
    </row>
    <row r="13" spans="1:5" x14ac:dyDescent="0.25">
      <c r="A13" s="126" t="s">
        <v>250</v>
      </c>
      <c r="B13" s="126"/>
      <c r="C13" s="126" t="s">
        <v>368</v>
      </c>
      <c r="D13" s="126"/>
      <c r="E13" s="126"/>
    </row>
    <row r="14" spans="1:5" s="39" customFormat="1" x14ac:dyDescent="0.25">
      <c r="A14" s="126" t="s">
        <v>250</v>
      </c>
      <c r="B14" s="126"/>
      <c r="C14" s="126" t="s">
        <v>367</v>
      </c>
      <c r="D14" s="126"/>
      <c r="E14" s="126"/>
    </row>
    <row r="15" spans="1:5" s="39" customFormat="1" x14ac:dyDescent="0.25">
      <c r="A15" s="126" t="s">
        <v>250</v>
      </c>
      <c r="B15" s="126"/>
      <c r="C15" s="126" t="s">
        <v>372</v>
      </c>
      <c r="D15" s="126"/>
      <c r="E15" s="126"/>
    </row>
    <row r="16" spans="1:5" x14ac:dyDescent="0.25">
      <c r="A16" s="126" t="s">
        <v>250</v>
      </c>
      <c r="B16" s="126"/>
      <c r="C16" s="126"/>
      <c r="D16" s="126"/>
      <c r="E16" s="126"/>
    </row>
    <row r="17" spans="1:17" s="39" customFormat="1" x14ac:dyDescent="0.25">
      <c r="A17" s="126" t="s">
        <v>250</v>
      </c>
      <c r="B17" s="126" t="s">
        <v>356</v>
      </c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</row>
    <row r="18" spans="1:17" x14ac:dyDescent="0.25">
      <c r="A18" s="126" t="s">
        <v>250</v>
      </c>
      <c r="B18" s="126"/>
      <c r="C18" s="126" t="s">
        <v>288</v>
      </c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</row>
    <row r="19" spans="1:17" x14ac:dyDescent="0.25">
      <c r="A19" s="126" t="s">
        <v>250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</row>
    <row r="20" spans="1:17" s="39" customFormat="1" x14ac:dyDescent="0.25">
      <c r="A20" s="126" t="s">
        <v>250</v>
      </c>
      <c r="B20" s="126" t="s">
        <v>355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</row>
    <row r="21" spans="1:17" s="39" customFormat="1" x14ac:dyDescent="0.25">
      <c r="A21" s="126" t="s">
        <v>250</v>
      </c>
      <c r="B21" s="126"/>
      <c r="C21" s="135" t="s">
        <v>377</v>
      </c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</row>
    <row r="22" spans="1:17" x14ac:dyDescent="0.25">
      <c r="A22" s="126" t="s">
        <v>250</v>
      </c>
      <c r="B22" s="126"/>
      <c r="C22" s="126" t="s">
        <v>262</v>
      </c>
      <c r="D22" s="131"/>
      <c r="E22" s="131"/>
      <c r="F22" s="131"/>
      <c r="G22" s="131"/>
      <c r="H22" s="131"/>
      <c r="I22" s="126"/>
      <c r="J22" s="126"/>
      <c r="K22" s="126"/>
      <c r="L22" s="126"/>
      <c r="M22" s="126"/>
      <c r="N22" s="126"/>
      <c r="O22" s="126"/>
      <c r="P22" s="126"/>
      <c r="Q22" s="126"/>
    </row>
    <row r="23" spans="1:17" x14ac:dyDescent="0.25">
      <c r="A23" s="126" t="s">
        <v>250</v>
      </c>
      <c r="B23" s="126"/>
      <c r="C23" s="126" t="s">
        <v>261</v>
      </c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</row>
    <row r="24" spans="1:17" x14ac:dyDescent="0.25">
      <c r="A24" s="126" t="s">
        <v>250</v>
      </c>
      <c r="B24" s="126"/>
      <c r="C24" s="126" t="s">
        <v>260</v>
      </c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</row>
    <row r="25" spans="1:17" x14ac:dyDescent="0.25">
      <c r="A25" s="126" t="s">
        <v>250</v>
      </c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</row>
    <row r="26" spans="1:17" x14ac:dyDescent="0.25">
      <c r="A26" s="126" t="s">
        <v>366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</row>
    <row r="27" spans="1:17" s="17" customFormat="1" x14ac:dyDescent="0.25">
      <c r="A27" s="129"/>
      <c r="B27" s="140" t="s">
        <v>521</v>
      </c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</row>
    <row r="28" spans="1:17" s="17" customFormat="1" x14ac:dyDescent="0.25">
      <c r="A28" s="129"/>
      <c r="B28" s="128"/>
      <c r="C28" s="141" t="s">
        <v>468</v>
      </c>
      <c r="D28" s="129" t="s">
        <v>236</v>
      </c>
      <c r="E28" s="129" t="s">
        <v>209</v>
      </c>
      <c r="F28" s="129" t="s">
        <v>241</v>
      </c>
      <c r="G28" s="129" t="s">
        <v>236</v>
      </c>
      <c r="H28" s="129" t="s">
        <v>209</v>
      </c>
      <c r="I28" s="129" t="s">
        <v>241</v>
      </c>
      <c r="J28" s="129" t="s">
        <v>236</v>
      </c>
      <c r="K28" s="129" t="s">
        <v>209</v>
      </c>
      <c r="L28" s="129" t="s">
        <v>241</v>
      </c>
      <c r="M28" s="129" t="s">
        <v>236</v>
      </c>
      <c r="N28" s="129" t="s">
        <v>209</v>
      </c>
      <c r="O28" s="129" t="s">
        <v>241</v>
      </c>
      <c r="P28" s="130"/>
      <c r="Q28" s="130"/>
    </row>
    <row r="29" spans="1:17" s="17" customFormat="1" x14ac:dyDescent="0.25">
      <c r="A29" s="129"/>
      <c r="B29" s="128"/>
      <c r="C29" s="141" t="s">
        <v>505</v>
      </c>
      <c r="D29" s="129" t="s">
        <v>522</v>
      </c>
      <c r="E29" s="129" t="s">
        <v>522</v>
      </c>
      <c r="F29" s="129" t="s">
        <v>522</v>
      </c>
      <c r="G29" s="129" t="s">
        <v>523</v>
      </c>
      <c r="H29" s="141" t="s">
        <v>523</v>
      </c>
      <c r="I29" s="141" t="s">
        <v>523</v>
      </c>
      <c r="J29" s="129" t="s">
        <v>524</v>
      </c>
      <c r="K29" s="141" t="s">
        <v>524</v>
      </c>
      <c r="L29" s="141" t="s">
        <v>524</v>
      </c>
      <c r="M29" s="137" t="s">
        <v>242</v>
      </c>
      <c r="N29" s="137" t="s">
        <v>242</v>
      </c>
      <c r="O29" s="137" t="s">
        <v>242</v>
      </c>
      <c r="P29" s="130"/>
      <c r="Q29" s="130"/>
    </row>
    <row r="30" spans="1:17" s="17" customFormat="1" x14ac:dyDescent="0.25">
      <c r="A30" s="129"/>
      <c r="B30" s="129"/>
      <c r="C30" s="141" t="s">
        <v>686</v>
      </c>
      <c r="D30" s="129">
        <v>0.36</v>
      </c>
      <c r="E30" s="129">
        <v>0.25</v>
      </c>
      <c r="F30" s="129">
        <v>0.42</v>
      </c>
      <c r="G30" s="129">
        <v>0.46</v>
      </c>
      <c r="H30" s="129">
        <v>0.22</v>
      </c>
      <c r="I30" s="129">
        <v>0.32</v>
      </c>
      <c r="J30" s="129">
        <v>0.41</v>
      </c>
      <c r="K30" s="129">
        <v>0.26</v>
      </c>
      <c r="L30" s="129">
        <v>0.46</v>
      </c>
      <c r="M30" s="129">
        <v>0.45</v>
      </c>
      <c r="N30" s="129">
        <v>0.23</v>
      </c>
      <c r="O30" s="129">
        <v>0.17</v>
      </c>
      <c r="P30" s="130"/>
      <c r="Q30" s="129"/>
    </row>
    <row r="31" spans="1:17" s="17" customFormat="1" x14ac:dyDescent="0.25">
      <c r="B31" s="129"/>
      <c r="C31" s="129" t="s">
        <v>348</v>
      </c>
      <c r="D31" s="129">
        <v>0.47</v>
      </c>
      <c r="E31" s="129">
        <v>0.26</v>
      </c>
      <c r="F31" s="136">
        <v>999</v>
      </c>
      <c r="G31" s="129">
        <v>0.47</v>
      </c>
      <c r="H31" s="129">
        <v>0.26</v>
      </c>
      <c r="I31" s="136">
        <v>999</v>
      </c>
      <c r="J31" s="129">
        <v>0.47</v>
      </c>
      <c r="K31" s="129">
        <v>0.26</v>
      </c>
      <c r="L31" s="136">
        <v>999</v>
      </c>
      <c r="M31" s="129">
        <v>0.45</v>
      </c>
      <c r="N31" s="129">
        <v>0.23</v>
      </c>
      <c r="O31" s="136">
        <v>999</v>
      </c>
    </row>
    <row r="32" spans="1:17" s="17" customFormat="1" x14ac:dyDescent="0.25">
      <c r="B32" s="129" t="s">
        <v>245</v>
      </c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</row>
    <row r="33" spans="1:9" s="17" customFormat="1" x14ac:dyDescent="0.25">
      <c r="A33" s="17" t="s">
        <v>250</v>
      </c>
      <c r="B33" s="138"/>
      <c r="C33" s="326" t="s">
        <v>778</v>
      </c>
      <c r="D33" s="138"/>
      <c r="E33" s="138"/>
      <c r="F33" s="138"/>
      <c r="G33" s="138"/>
      <c r="H33" s="138"/>
      <c r="I33" s="138"/>
    </row>
    <row r="34" spans="1:9" s="17" customFormat="1" x14ac:dyDescent="0.25">
      <c r="B34" s="138"/>
      <c r="C34" s="138"/>
      <c r="D34" s="138"/>
      <c r="E34" s="138"/>
      <c r="F34" s="138"/>
      <c r="G34" s="138"/>
      <c r="H34" s="138"/>
      <c r="I34" s="138"/>
    </row>
    <row r="35" spans="1:9" s="17" customFormat="1" x14ac:dyDescent="0.25">
      <c r="B35" s="138"/>
      <c r="C35" s="138"/>
      <c r="D35" s="138"/>
      <c r="E35" s="138"/>
      <c r="F35" s="138"/>
      <c r="G35" s="138"/>
      <c r="H35" s="138"/>
      <c r="I35" s="138"/>
    </row>
    <row r="36" spans="1:9" s="17" customFormat="1" x14ac:dyDescent="0.25">
      <c r="B36" s="138"/>
      <c r="C36" s="138"/>
      <c r="D36" s="138"/>
      <c r="E36" s="138"/>
      <c r="F36" s="138"/>
      <c r="G36" s="138"/>
      <c r="H36" s="138"/>
      <c r="I36" s="138"/>
    </row>
    <row r="37" spans="1:9" s="17" customFormat="1" x14ac:dyDescent="0.25">
      <c r="B37" s="138"/>
      <c r="C37" s="138"/>
      <c r="D37" s="138"/>
      <c r="E37" s="138"/>
      <c r="F37" s="138"/>
      <c r="G37" s="138"/>
      <c r="H37" s="138"/>
      <c r="I37" s="138"/>
    </row>
    <row r="38" spans="1:9" s="17" customFormat="1" x14ac:dyDescent="0.25">
      <c r="B38" s="138"/>
      <c r="C38" s="138"/>
      <c r="D38" s="138"/>
      <c r="E38" s="138"/>
      <c r="F38" s="138"/>
      <c r="G38" s="138"/>
      <c r="H38" s="138"/>
      <c r="I38" s="138"/>
    </row>
    <row r="39" spans="1:9" x14ac:dyDescent="0.25">
      <c r="B39" s="138"/>
      <c r="C39" s="138"/>
      <c r="D39" s="138"/>
      <c r="E39" s="138"/>
      <c r="F39" s="138"/>
      <c r="G39" s="138"/>
      <c r="H39" s="138"/>
      <c r="I39" s="138"/>
    </row>
    <row r="50" spans="2:10" x14ac:dyDescent="0.25">
      <c r="B50" s="126"/>
      <c r="C50" s="126"/>
      <c r="D50" s="126"/>
      <c r="E50" s="126"/>
      <c r="F50" s="126"/>
      <c r="G50" s="126"/>
      <c r="H50" s="126"/>
      <c r="I50" s="126"/>
      <c r="J50" s="126"/>
    </row>
    <row r="56" spans="2:10" x14ac:dyDescent="0.25">
      <c r="J56" s="39"/>
    </row>
    <row r="60" spans="2:10" x14ac:dyDescent="0.25">
      <c r="B60" s="128"/>
      <c r="C60" s="126"/>
      <c r="D60" s="126"/>
      <c r="E60" s="126"/>
      <c r="F60" s="126"/>
      <c r="G60" s="126"/>
      <c r="H60" s="126"/>
      <c r="I60" s="126"/>
      <c r="J60" s="126"/>
    </row>
    <row r="62" spans="2:10" x14ac:dyDescent="0.25">
      <c r="D62" s="127"/>
      <c r="E62" s="127"/>
      <c r="F62" s="127"/>
      <c r="G62" s="127"/>
      <c r="H62" s="127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32"/>
    </row>
    <row r="82" spans="3:3" x14ac:dyDescent="0.25">
      <c r="C82" s="132"/>
    </row>
    <row r="86" spans="3:3" x14ac:dyDescent="0.25">
      <c r="C86" s="20"/>
    </row>
    <row r="87" spans="3:3" x14ac:dyDescent="0.25">
      <c r="C87" s="2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8" tint="0.39997558519241921"/>
  </sheetPr>
  <dimension ref="A1:Q91"/>
  <sheetViews>
    <sheetView zoomScaleNormal="100" workbookViewId="0">
      <selection activeCell="B1" sqref="B1"/>
    </sheetView>
  </sheetViews>
  <sheetFormatPr defaultRowHeight="15" x14ac:dyDescent="0.25"/>
  <cols>
    <col min="1" max="1" width="2.140625" style="39" customWidth="1"/>
    <col min="2" max="2" width="3.28515625" style="39" customWidth="1"/>
    <col min="3" max="3" width="20.140625" style="39" customWidth="1"/>
    <col min="4" max="4" width="24.28515625" style="39" customWidth="1"/>
    <col min="5" max="5" width="22.28515625" style="39" customWidth="1"/>
    <col min="6" max="10" width="12.7109375" style="39" customWidth="1"/>
    <col min="11" max="16" width="13.7109375" style="39" customWidth="1"/>
    <col min="17" max="17" width="9.140625" style="39" customWidth="1"/>
    <col min="18" max="16384" width="9.140625" style="39"/>
  </cols>
  <sheetData>
    <row r="1" spans="1:5" x14ac:dyDescent="0.25">
      <c r="A1" s="138" t="s">
        <v>250</v>
      </c>
      <c r="B1" s="138" t="s">
        <v>924</v>
      </c>
      <c r="C1" s="138"/>
      <c r="D1" s="138"/>
      <c r="E1" s="138"/>
    </row>
    <row r="2" spans="1:5" x14ac:dyDescent="0.25">
      <c r="A2" s="138" t="s">
        <v>250</v>
      </c>
      <c r="B2" s="138"/>
      <c r="C2" s="138"/>
      <c r="D2" s="138"/>
      <c r="E2" s="138"/>
    </row>
    <row r="3" spans="1:5" x14ac:dyDescent="0.25">
      <c r="A3" s="138" t="s">
        <v>250</v>
      </c>
      <c r="B3" s="138" t="s">
        <v>357</v>
      </c>
      <c r="C3" s="138"/>
      <c r="D3" s="138"/>
      <c r="E3" s="138"/>
    </row>
    <row r="4" spans="1:5" x14ac:dyDescent="0.25">
      <c r="A4" s="138" t="s">
        <v>250</v>
      </c>
      <c r="B4" s="138"/>
      <c r="C4" s="138" t="s">
        <v>381</v>
      </c>
      <c r="D4" s="138"/>
      <c r="E4" s="138"/>
    </row>
    <row r="5" spans="1:5" x14ac:dyDescent="0.25">
      <c r="A5" s="138" t="s">
        <v>250</v>
      </c>
      <c r="B5" s="138"/>
      <c r="C5" s="138"/>
      <c r="D5" s="138"/>
      <c r="E5" s="138"/>
    </row>
    <row r="6" spans="1:5" x14ac:dyDescent="0.25">
      <c r="A6" s="138" t="s">
        <v>250</v>
      </c>
      <c r="B6" s="138" t="s">
        <v>358</v>
      </c>
      <c r="C6" s="138"/>
      <c r="D6" s="138"/>
      <c r="E6" s="138"/>
    </row>
    <row r="7" spans="1:5" x14ac:dyDescent="0.25">
      <c r="A7" s="138" t="s">
        <v>250</v>
      </c>
      <c r="B7" s="138"/>
      <c r="C7" s="138" t="s">
        <v>263</v>
      </c>
      <c r="D7" s="138" t="s">
        <v>264</v>
      </c>
      <c r="E7" s="138" t="s">
        <v>265</v>
      </c>
    </row>
    <row r="8" spans="1:5" x14ac:dyDescent="0.25">
      <c r="A8" s="138" t="s">
        <v>250</v>
      </c>
      <c r="B8" s="141"/>
      <c r="C8" s="144">
        <v>41186</v>
      </c>
      <c r="D8" s="145" t="s">
        <v>387</v>
      </c>
      <c r="E8" s="138" t="s">
        <v>266</v>
      </c>
    </row>
    <row r="9" spans="1:5" x14ac:dyDescent="0.25">
      <c r="A9" s="138" t="s">
        <v>250</v>
      </c>
      <c r="B9" s="141"/>
      <c r="C9" s="144">
        <v>41203</v>
      </c>
      <c r="D9" s="145" t="s">
        <v>387</v>
      </c>
      <c r="E9" s="138" t="s">
        <v>386</v>
      </c>
    </row>
    <row r="10" spans="1:5" x14ac:dyDescent="0.25">
      <c r="A10" s="138" t="s">
        <v>250</v>
      </c>
      <c r="B10" s="141"/>
      <c r="C10" s="144">
        <v>41217</v>
      </c>
      <c r="D10" s="145" t="s">
        <v>411</v>
      </c>
      <c r="E10" s="138" t="s">
        <v>506</v>
      </c>
    </row>
    <row r="11" spans="1:5" s="138" customFormat="1" x14ac:dyDescent="0.25">
      <c r="A11" s="138" t="s">
        <v>250</v>
      </c>
      <c r="B11" s="141"/>
      <c r="C11" s="144">
        <v>41522</v>
      </c>
      <c r="D11" s="145" t="s">
        <v>573</v>
      </c>
      <c r="E11" s="138" t="s">
        <v>574</v>
      </c>
    </row>
    <row r="12" spans="1:5" x14ac:dyDescent="0.25">
      <c r="A12" s="138" t="s">
        <v>250</v>
      </c>
      <c r="B12" s="141"/>
      <c r="C12" s="144"/>
      <c r="D12" s="138"/>
      <c r="E12" s="138"/>
    </row>
    <row r="13" spans="1:5" x14ac:dyDescent="0.25">
      <c r="A13" s="138" t="s">
        <v>250</v>
      </c>
      <c r="B13" s="138" t="s">
        <v>359</v>
      </c>
      <c r="C13" s="138"/>
      <c r="D13" s="138"/>
      <c r="E13" s="138"/>
    </row>
    <row r="14" spans="1:5" x14ac:dyDescent="0.25">
      <c r="A14" s="138" t="s">
        <v>250</v>
      </c>
      <c r="B14" s="138"/>
      <c r="C14" s="138" t="s">
        <v>373</v>
      </c>
      <c r="D14" s="138"/>
      <c r="E14" s="138"/>
    </row>
    <row r="15" spans="1:5" x14ac:dyDescent="0.25">
      <c r="A15" s="138" t="s">
        <v>250</v>
      </c>
      <c r="B15" s="138"/>
      <c r="C15" s="138" t="s">
        <v>374</v>
      </c>
      <c r="D15" s="138"/>
      <c r="E15" s="138"/>
    </row>
    <row r="16" spans="1:5" x14ac:dyDescent="0.25">
      <c r="A16" s="138" t="s">
        <v>250</v>
      </c>
      <c r="B16" s="138"/>
      <c r="C16" s="138" t="s">
        <v>375</v>
      </c>
      <c r="D16" s="138"/>
      <c r="E16" s="138"/>
    </row>
    <row r="17" spans="1:17" x14ac:dyDescent="0.25">
      <c r="A17" s="138" t="s">
        <v>250</v>
      </c>
      <c r="B17" s="138"/>
      <c r="C17" s="138"/>
      <c r="D17" s="138"/>
      <c r="E17" s="138"/>
    </row>
    <row r="18" spans="1:17" x14ac:dyDescent="0.25">
      <c r="A18" s="138" t="s">
        <v>250</v>
      </c>
      <c r="B18" s="138" t="s">
        <v>356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</row>
    <row r="19" spans="1:17" x14ac:dyDescent="0.25">
      <c r="A19" s="138" t="s">
        <v>250</v>
      </c>
      <c r="B19" s="138"/>
      <c r="C19" s="138" t="s">
        <v>289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</row>
    <row r="20" spans="1:17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</row>
    <row r="21" spans="1:17" x14ac:dyDescent="0.25">
      <c r="A21" s="138" t="s">
        <v>250</v>
      </c>
      <c r="B21" s="138" t="s">
        <v>355</v>
      </c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</row>
    <row r="22" spans="1:17" x14ac:dyDescent="0.25">
      <c r="A22" s="138" t="s">
        <v>250</v>
      </c>
      <c r="B22" s="138"/>
      <c r="C22" s="146" t="s">
        <v>377</v>
      </c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</row>
    <row r="23" spans="1:17" x14ac:dyDescent="0.25">
      <c r="A23" s="138" t="s">
        <v>250</v>
      </c>
      <c r="B23" s="138"/>
      <c r="C23" s="138" t="s">
        <v>285</v>
      </c>
      <c r="D23" s="142"/>
      <c r="E23" s="142"/>
      <c r="F23" s="142"/>
      <c r="G23" s="142"/>
      <c r="H23" s="142"/>
      <c r="I23" s="138"/>
      <c r="J23" s="138"/>
      <c r="K23" s="138"/>
      <c r="L23" s="138"/>
      <c r="M23" s="138"/>
      <c r="N23" s="138"/>
      <c r="O23" s="138"/>
      <c r="P23" s="138"/>
    </row>
    <row r="24" spans="1:17" x14ac:dyDescent="0.25">
      <c r="A24" s="138" t="s">
        <v>250</v>
      </c>
      <c r="B24" s="138"/>
      <c r="C24" s="138" t="s">
        <v>286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</row>
    <row r="25" spans="1:17" x14ac:dyDescent="0.25">
      <c r="A25" s="138" t="s">
        <v>250</v>
      </c>
      <c r="B25" s="138"/>
      <c r="C25" s="138" t="s">
        <v>287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</row>
    <row r="26" spans="1:17" x14ac:dyDescent="0.25">
      <c r="A26" s="138" t="s">
        <v>250</v>
      </c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</row>
    <row r="27" spans="1:17" x14ac:dyDescent="0.25">
      <c r="A27" s="138" t="s">
        <v>366</v>
      </c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</row>
    <row r="28" spans="1:17" x14ac:dyDescent="0.25">
      <c r="A28" s="138"/>
      <c r="B28" s="140" t="s">
        <v>507</v>
      </c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</row>
    <row r="29" spans="1:17" x14ac:dyDescent="0.25">
      <c r="A29" s="138"/>
      <c r="B29" s="140"/>
      <c r="C29" s="138" t="s">
        <v>468</v>
      </c>
      <c r="D29" s="138" t="s">
        <v>578</v>
      </c>
      <c r="E29" s="141" t="s">
        <v>236</v>
      </c>
      <c r="F29" s="141" t="s">
        <v>209</v>
      </c>
      <c r="G29" s="141" t="s">
        <v>241</v>
      </c>
      <c r="H29" s="141" t="s">
        <v>236</v>
      </c>
      <c r="I29" s="141" t="s">
        <v>209</v>
      </c>
      <c r="J29" s="141" t="s">
        <v>241</v>
      </c>
      <c r="K29" s="141" t="s">
        <v>236</v>
      </c>
      <c r="L29" s="141" t="s">
        <v>209</v>
      </c>
      <c r="M29" s="141" t="s">
        <v>241</v>
      </c>
      <c r="N29" s="141" t="s">
        <v>236</v>
      </c>
      <c r="O29" s="141" t="s">
        <v>209</v>
      </c>
      <c r="P29" s="141" t="s">
        <v>241</v>
      </c>
      <c r="Q29" s="8"/>
    </row>
    <row r="30" spans="1:17" x14ac:dyDescent="0.25">
      <c r="A30" s="138"/>
      <c r="B30" s="140"/>
      <c r="C30" s="138" t="s">
        <v>508</v>
      </c>
      <c r="D30" s="138"/>
      <c r="E30" s="141" t="s">
        <v>466</v>
      </c>
      <c r="F30" s="141" t="s">
        <v>466</v>
      </c>
      <c r="G30" s="141" t="s">
        <v>466</v>
      </c>
      <c r="H30" s="141" t="s">
        <v>466</v>
      </c>
      <c r="I30" s="141" t="s">
        <v>466</v>
      </c>
      <c r="J30" s="141" t="s">
        <v>466</v>
      </c>
      <c r="K30" s="141" t="s">
        <v>467</v>
      </c>
      <c r="L30" s="141" t="s">
        <v>467</v>
      </c>
      <c r="M30" s="141" t="s">
        <v>467</v>
      </c>
      <c r="N30" s="141" t="s">
        <v>467</v>
      </c>
      <c r="O30" s="141" t="s">
        <v>467</v>
      </c>
      <c r="P30" s="141" t="s">
        <v>467</v>
      </c>
      <c r="Q30" s="8"/>
    </row>
    <row r="31" spans="1:17" x14ac:dyDescent="0.25">
      <c r="A31" s="138"/>
      <c r="B31" s="140"/>
      <c r="C31" s="138" t="s">
        <v>575</v>
      </c>
      <c r="D31" s="138"/>
      <c r="E31" s="141" t="s">
        <v>470</v>
      </c>
      <c r="F31" s="141" t="s">
        <v>470</v>
      </c>
      <c r="G31" s="141" t="s">
        <v>470</v>
      </c>
      <c r="H31" s="141" t="s">
        <v>471</v>
      </c>
      <c r="I31" s="141" t="s">
        <v>471</v>
      </c>
      <c r="J31" s="141" t="s">
        <v>471</v>
      </c>
      <c r="K31" s="141" t="s">
        <v>470</v>
      </c>
      <c r="L31" s="141" t="s">
        <v>470</v>
      </c>
      <c r="M31" s="141" t="s">
        <v>470</v>
      </c>
      <c r="N31" s="141" t="s">
        <v>471</v>
      </c>
      <c r="O31" s="141" t="s">
        <v>471</v>
      </c>
      <c r="P31" s="141" t="s">
        <v>471</v>
      </c>
      <c r="Q31" s="8"/>
    </row>
    <row r="32" spans="1:17" x14ac:dyDescent="0.25">
      <c r="A32" s="138"/>
      <c r="B32" s="138"/>
      <c r="C32" s="141" t="s">
        <v>686</v>
      </c>
      <c r="D32" s="138" t="s">
        <v>349</v>
      </c>
      <c r="E32" s="141">
        <v>0.57999999999999996</v>
      </c>
      <c r="F32" s="141">
        <v>0.25</v>
      </c>
      <c r="G32" s="141">
        <v>0.49</v>
      </c>
      <c r="H32" s="141">
        <v>0.46</v>
      </c>
      <c r="I32" s="141">
        <v>0.25</v>
      </c>
      <c r="J32" s="141">
        <v>0.49</v>
      </c>
      <c r="K32" s="141">
        <v>0.88</v>
      </c>
      <c r="L32" s="147">
        <v>999</v>
      </c>
      <c r="M32" s="141">
        <v>0.64</v>
      </c>
      <c r="N32" s="157" t="s">
        <v>332</v>
      </c>
      <c r="O32" s="157" t="s">
        <v>332</v>
      </c>
      <c r="P32" s="157" t="s">
        <v>332</v>
      </c>
      <c r="Q32" s="8"/>
    </row>
    <row r="33" spans="2:17" x14ac:dyDescent="0.25">
      <c r="B33" s="138"/>
      <c r="C33" s="141" t="s">
        <v>348</v>
      </c>
      <c r="D33" s="138" t="s">
        <v>576</v>
      </c>
      <c r="E33" s="141">
        <v>0.99</v>
      </c>
      <c r="F33" s="141">
        <v>0.46</v>
      </c>
      <c r="G33" s="147">
        <v>999</v>
      </c>
      <c r="H33" s="141">
        <v>0.56999999999999995</v>
      </c>
      <c r="I33" s="141">
        <v>0.46</v>
      </c>
      <c r="J33" s="147">
        <v>999</v>
      </c>
      <c r="K33" s="141">
        <v>0.87</v>
      </c>
      <c r="L33" s="141">
        <v>0.69</v>
      </c>
      <c r="M33" s="147">
        <v>999</v>
      </c>
      <c r="N33" s="157" t="s">
        <v>332</v>
      </c>
      <c r="O33" s="157" t="s">
        <v>332</v>
      </c>
      <c r="P33" s="157" t="s">
        <v>332</v>
      </c>
      <c r="Q33" s="8"/>
    </row>
    <row r="34" spans="2:17" x14ac:dyDescent="0.25">
      <c r="B34" s="138"/>
      <c r="C34" s="141" t="s">
        <v>348</v>
      </c>
      <c r="D34" s="138" t="s">
        <v>577</v>
      </c>
      <c r="E34" s="141">
        <v>0.99</v>
      </c>
      <c r="F34" s="141">
        <v>0.36</v>
      </c>
      <c r="G34" s="147">
        <v>999</v>
      </c>
      <c r="H34" s="141">
        <v>0.56999999999999995</v>
      </c>
      <c r="I34" s="141">
        <v>0.36</v>
      </c>
      <c r="J34" s="147">
        <v>999</v>
      </c>
      <c r="K34" s="141">
        <v>0.87</v>
      </c>
      <c r="L34" s="141">
        <v>0.56999999999999995</v>
      </c>
      <c r="M34" s="147">
        <v>999</v>
      </c>
      <c r="N34" s="157" t="s">
        <v>332</v>
      </c>
      <c r="O34" s="157" t="s">
        <v>332</v>
      </c>
      <c r="P34" s="157" t="s">
        <v>332</v>
      </c>
      <c r="Q34" s="8"/>
    </row>
    <row r="35" spans="2:17" x14ac:dyDescent="0.25">
      <c r="C35" s="157" t="s">
        <v>332</v>
      </c>
      <c r="D35" s="138" t="s">
        <v>579</v>
      </c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8"/>
    </row>
    <row r="36" spans="2:17" x14ac:dyDescent="0.25">
      <c r="B36" s="138" t="s">
        <v>245</v>
      </c>
      <c r="C36" s="17"/>
      <c r="G36" s="17"/>
      <c r="H36" s="17"/>
      <c r="I36" s="156"/>
      <c r="M36" s="8"/>
      <c r="N36" s="8"/>
      <c r="O36" s="8"/>
      <c r="P36" s="8"/>
      <c r="Q36" s="8"/>
    </row>
    <row r="37" spans="2:17" x14ac:dyDescent="0.25">
      <c r="C37" s="326" t="s">
        <v>778</v>
      </c>
      <c r="G37" s="17"/>
      <c r="H37" s="17"/>
      <c r="I37" s="156"/>
      <c r="M37" s="8"/>
      <c r="N37" s="8"/>
      <c r="O37" s="8"/>
      <c r="P37" s="8"/>
      <c r="Q37" s="8"/>
    </row>
    <row r="38" spans="2:17" x14ac:dyDescent="0.25">
      <c r="C38" s="17"/>
      <c r="G38" s="17"/>
      <c r="H38" s="17"/>
      <c r="I38" s="156"/>
      <c r="M38" s="8"/>
      <c r="N38" s="8"/>
      <c r="O38" s="8"/>
      <c r="P38" s="8"/>
      <c r="Q38" s="8"/>
    </row>
    <row r="39" spans="2:17" x14ac:dyDescent="0.25">
      <c r="C39" s="17"/>
      <c r="G39" s="17"/>
      <c r="H39" s="17"/>
      <c r="I39" s="156"/>
      <c r="M39" s="8"/>
      <c r="N39" s="8"/>
      <c r="O39" s="8"/>
      <c r="P39" s="8"/>
      <c r="Q39" s="8"/>
    </row>
    <row r="40" spans="2:17" s="17" customFormat="1" x14ac:dyDescent="0.25">
      <c r="C40" s="156"/>
    </row>
    <row r="63" spans="2:2" x14ac:dyDescent="0.25">
      <c r="B63" s="140"/>
    </row>
    <row r="65" spans="2:8" x14ac:dyDescent="0.25">
      <c r="D65" s="139"/>
      <c r="E65" s="139"/>
      <c r="F65" s="139"/>
      <c r="G65" s="139"/>
      <c r="H65" s="139"/>
    </row>
    <row r="69" spans="2:8" x14ac:dyDescent="0.25">
      <c r="B69" s="2"/>
    </row>
    <row r="71" spans="2:8" x14ac:dyDescent="0.25">
      <c r="D71" s="40"/>
      <c r="E71" s="40"/>
      <c r="F71" s="40"/>
      <c r="G71" s="40"/>
      <c r="H71" s="40"/>
    </row>
    <row r="84" spans="3:3" x14ac:dyDescent="0.25">
      <c r="C84" s="143"/>
    </row>
    <row r="85" spans="3:3" x14ac:dyDescent="0.25">
      <c r="C85" s="143"/>
    </row>
    <row r="90" spans="3:3" x14ac:dyDescent="0.25">
      <c r="C90" s="20"/>
    </row>
    <row r="91" spans="3:3" x14ac:dyDescent="0.25">
      <c r="C91" s="20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92D050"/>
  </sheetPr>
  <dimension ref="A1:V183"/>
  <sheetViews>
    <sheetView topLeftCell="B100" zoomScale="70" zoomScaleNormal="70" workbookViewId="0">
      <selection activeCell="I14" sqref="I14"/>
    </sheetView>
  </sheetViews>
  <sheetFormatPr defaultRowHeight="15" x14ac:dyDescent="0.25"/>
  <cols>
    <col min="1" max="1" width="1.85546875" style="138" customWidth="1"/>
    <col min="2" max="2" width="4.7109375" style="138" customWidth="1"/>
    <col min="3" max="3" width="39.140625" style="138" bestFit="1" customWidth="1"/>
    <col min="4" max="4" width="20.5703125" style="138" bestFit="1" customWidth="1"/>
    <col min="5" max="5" width="21" style="138" bestFit="1" customWidth="1"/>
    <col min="6" max="6" width="25.85546875" style="138" bestFit="1" customWidth="1"/>
    <col min="7" max="7" width="14.5703125" style="138" bestFit="1" customWidth="1"/>
    <col min="8" max="8" width="15.85546875" style="138" bestFit="1" customWidth="1"/>
    <col min="9" max="9" width="21.7109375" style="138" bestFit="1" customWidth="1"/>
    <col min="10" max="11" width="15.7109375" style="138" bestFit="1" customWidth="1"/>
    <col min="12" max="12" width="15.7109375" style="138" customWidth="1"/>
    <col min="13" max="15" width="13.85546875" style="138" customWidth="1"/>
    <col min="16" max="18" width="12.85546875" style="138" bestFit="1" customWidth="1"/>
    <col min="19" max="19" width="9.140625" style="138"/>
    <col min="20" max="20" width="9.140625" style="138" customWidth="1"/>
    <col min="21" max="16384" width="9.140625" style="138"/>
  </cols>
  <sheetData>
    <row r="1" spans="1:6" x14ac:dyDescent="0.25">
      <c r="A1" s="138" t="s">
        <v>250</v>
      </c>
      <c r="B1" s="138" t="s">
        <v>673</v>
      </c>
    </row>
    <row r="2" spans="1:6" x14ac:dyDescent="0.25">
      <c r="A2" s="138" t="s">
        <v>250</v>
      </c>
    </row>
    <row r="3" spans="1:6" x14ac:dyDescent="0.25">
      <c r="A3" s="138" t="s">
        <v>250</v>
      </c>
      <c r="B3" s="138" t="s">
        <v>357</v>
      </c>
    </row>
    <row r="4" spans="1:6" x14ac:dyDescent="0.25">
      <c r="A4" s="138" t="s">
        <v>250</v>
      </c>
      <c r="C4" s="138" t="s">
        <v>773</v>
      </c>
    </row>
    <row r="5" spans="1:6" x14ac:dyDescent="0.25">
      <c r="A5" s="138" t="s">
        <v>250</v>
      </c>
    </row>
    <row r="6" spans="1:6" x14ac:dyDescent="0.25">
      <c r="A6" s="138" t="s">
        <v>250</v>
      </c>
      <c r="B6" s="138" t="s">
        <v>358</v>
      </c>
    </row>
    <row r="7" spans="1:6" x14ac:dyDescent="0.25">
      <c r="A7" s="138" t="s">
        <v>250</v>
      </c>
      <c r="C7" s="138" t="s">
        <v>263</v>
      </c>
      <c r="D7" s="138" t="s">
        <v>264</v>
      </c>
      <c r="F7" s="138" t="s">
        <v>265</v>
      </c>
    </row>
    <row r="8" spans="1:6" x14ac:dyDescent="0.25">
      <c r="A8" s="138" t="s">
        <v>250</v>
      </c>
      <c r="B8" s="141"/>
      <c r="C8" s="144">
        <v>41904</v>
      </c>
      <c r="D8" s="145" t="s">
        <v>411</v>
      </c>
      <c r="E8" s="145"/>
      <c r="F8" s="138" t="s">
        <v>678</v>
      </c>
    </row>
    <row r="9" spans="1:6" x14ac:dyDescent="0.25">
      <c r="A9" s="138" t="s">
        <v>250</v>
      </c>
      <c r="B9" s="141"/>
      <c r="C9" s="144"/>
      <c r="D9" s="145"/>
      <c r="E9" s="145"/>
    </row>
    <row r="10" spans="1:6" x14ac:dyDescent="0.25">
      <c r="A10" s="138" t="s">
        <v>250</v>
      </c>
      <c r="B10" s="141"/>
      <c r="C10" s="144"/>
      <c r="E10" s="145"/>
    </row>
    <row r="11" spans="1:6" x14ac:dyDescent="0.25">
      <c r="A11" s="138" t="s">
        <v>250</v>
      </c>
      <c r="B11" s="141"/>
      <c r="C11" s="144"/>
    </row>
    <row r="12" spans="1:6" x14ac:dyDescent="0.25">
      <c r="A12" s="138" t="s">
        <v>250</v>
      </c>
      <c r="B12" s="138" t="s">
        <v>690</v>
      </c>
    </row>
    <row r="13" spans="1:6" x14ac:dyDescent="0.25">
      <c r="A13" s="138" t="s">
        <v>250</v>
      </c>
    </row>
    <row r="14" spans="1:6" x14ac:dyDescent="0.25">
      <c r="A14" s="138" t="s">
        <v>250</v>
      </c>
    </row>
    <row r="15" spans="1:6" x14ac:dyDescent="0.25">
      <c r="A15" s="138" t="s">
        <v>250</v>
      </c>
      <c r="B15" s="138" t="s">
        <v>251</v>
      </c>
    </row>
    <row r="16" spans="1:6" x14ac:dyDescent="0.25">
      <c r="A16" s="138" t="s">
        <v>250</v>
      </c>
    </row>
    <row r="17" spans="1:18" x14ac:dyDescent="0.25">
      <c r="A17" s="138" t="s">
        <v>250</v>
      </c>
    </row>
    <row r="18" spans="1:18" x14ac:dyDescent="0.25">
      <c r="A18" s="138" t="s">
        <v>250</v>
      </c>
      <c r="B18" s="138" t="s">
        <v>273</v>
      </c>
    </row>
    <row r="19" spans="1:18" x14ac:dyDescent="0.25">
      <c r="A19" s="138" t="s">
        <v>250</v>
      </c>
      <c r="C19" s="116" t="s">
        <v>773</v>
      </c>
    </row>
    <row r="20" spans="1:18" x14ac:dyDescent="0.25">
      <c r="A20" s="138" t="s">
        <v>250</v>
      </c>
      <c r="C20" s="138" t="s">
        <v>681</v>
      </c>
    </row>
    <row r="21" spans="1:18" x14ac:dyDescent="0.25">
      <c r="A21" s="138" t="s">
        <v>250</v>
      </c>
    </row>
    <row r="22" spans="1:18" x14ac:dyDescent="0.25">
      <c r="A22" s="138" t="s">
        <v>250</v>
      </c>
    </row>
    <row r="23" spans="1:18" x14ac:dyDescent="0.25">
      <c r="A23" s="138" t="s">
        <v>366</v>
      </c>
    </row>
    <row r="24" spans="1:18" x14ac:dyDescent="0.25">
      <c r="B24" s="140" t="s">
        <v>772</v>
      </c>
      <c r="C24" s="140"/>
      <c r="J24" s="141"/>
      <c r="K24" s="141"/>
      <c r="L24" s="141"/>
      <c r="M24" s="141"/>
      <c r="N24" s="141"/>
      <c r="O24" s="141"/>
    </row>
    <row r="25" spans="1:18" x14ac:dyDescent="0.25">
      <c r="B25" s="140"/>
      <c r="C25" s="210" t="s">
        <v>681</v>
      </c>
      <c r="D25" s="205" t="s">
        <v>491</v>
      </c>
      <c r="E25" s="181" t="s">
        <v>474</v>
      </c>
      <c r="F25" s="181" t="s">
        <v>498</v>
      </c>
      <c r="G25" s="181" t="s">
        <v>469</v>
      </c>
      <c r="H25" s="183" t="s">
        <v>679</v>
      </c>
      <c r="I25" s="183" t="s">
        <v>689</v>
      </c>
      <c r="J25" s="182" t="s">
        <v>236</v>
      </c>
      <c r="K25" s="211" t="s">
        <v>209</v>
      </c>
      <c r="L25" s="292" t="s">
        <v>241</v>
      </c>
      <c r="M25" s="182" t="s">
        <v>236</v>
      </c>
      <c r="N25" s="211" t="s">
        <v>209</v>
      </c>
      <c r="O25" s="292" t="s">
        <v>241</v>
      </c>
      <c r="P25" s="182" t="s">
        <v>236</v>
      </c>
      <c r="Q25" s="183" t="s">
        <v>209</v>
      </c>
      <c r="R25" s="292" t="s">
        <v>241</v>
      </c>
    </row>
    <row r="26" spans="1:18" x14ac:dyDescent="0.25">
      <c r="C26" s="228" t="s">
        <v>763</v>
      </c>
      <c r="D26" s="224"/>
      <c r="F26" s="224"/>
      <c r="G26" s="224"/>
      <c r="H26" s="206"/>
      <c r="I26" s="206"/>
      <c r="J26" s="229" t="s">
        <v>520</v>
      </c>
      <c r="K26" s="206" t="s">
        <v>520</v>
      </c>
      <c r="L26" s="207" t="s">
        <v>520</v>
      </c>
      <c r="M26" s="228" t="s">
        <v>347</v>
      </c>
      <c r="N26" s="224" t="s">
        <v>347</v>
      </c>
      <c r="O26" s="263" t="s">
        <v>347</v>
      </c>
      <c r="P26" s="229" t="s">
        <v>795</v>
      </c>
      <c r="Q26" s="183" t="s">
        <v>795</v>
      </c>
      <c r="R26" s="184" t="s">
        <v>795</v>
      </c>
    </row>
    <row r="27" spans="1:18" x14ac:dyDescent="0.25">
      <c r="C27" s="228">
        <v>1</v>
      </c>
      <c r="D27" s="230" t="s">
        <v>525</v>
      </c>
      <c r="E27" s="230" t="s">
        <v>682</v>
      </c>
      <c r="F27" s="230" t="s">
        <v>777</v>
      </c>
      <c r="G27" s="231" t="s">
        <v>349</v>
      </c>
      <c r="H27" s="231" t="s">
        <v>349</v>
      </c>
      <c r="I27" s="231" t="s">
        <v>349</v>
      </c>
      <c r="J27" s="248">
        <v>1.2</v>
      </c>
      <c r="K27" s="249">
        <v>0.25</v>
      </c>
      <c r="L27" s="309">
        <v>999</v>
      </c>
      <c r="M27" s="315">
        <v>1.2</v>
      </c>
      <c r="N27" s="250">
        <v>0.25</v>
      </c>
      <c r="O27" s="299">
        <v>999</v>
      </c>
      <c r="P27" s="248">
        <v>1.2</v>
      </c>
      <c r="Q27" s="302">
        <v>999</v>
      </c>
      <c r="R27" s="299">
        <v>999</v>
      </c>
    </row>
    <row r="28" spans="1:18" x14ac:dyDescent="0.25">
      <c r="C28" s="169">
        <f>C27</f>
        <v>1</v>
      </c>
      <c r="D28" s="214" t="s">
        <v>525</v>
      </c>
      <c r="E28" s="214" t="s">
        <v>683</v>
      </c>
      <c r="F28" s="214" t="s">
        <v>777</v>
      </c>
      <c r="G28" s="215" t="s">
        <v>349</v>
      </c>
      <c r="H28" s="215" t="s">
        <v>349</v>
      </c>
      <c r="I28" s="215" t="s">
        <v>349</v>
      </c>
      <c r="J28" s="240">
        <v>1.2</v>
      </c>
      <c r="K28" s="251">
        <v>0.25</v>
      </c>
      <c r="L28" s="310">
        <v>999</v>
      </c>
      <c r="M28" s="241">
        <v>1.2</v>
      </c>
      <c r="N28" s="252">
        <v>0.25</v>
      </c>
      <c r="O28" s="300">
        <v>999</v>
      </c>
      <c r="P28" s="240">
        <v>1.2</v>
      </c>
      <c r="Q28" s="295">
        <v>999</v>
      </c>
      <c r="R28" s="300">
        <v>999</v>
      </c>
    </row>
    <row r="29" spans="1:18" x14ac:dyDescent="0.25">
      <c r="C29" s="169">
        <f t="shared" ref="C29:C39" si="0">C28</f>
        <v>1</v>
      </c>
      <c r="D29" s="214" t="s">
        <v>525</v>
      </c>
      <c r="E29" s="214" t="s">
        <v>684</v>
      </c>
      <c r="F29" s="214" t="s">
        <v>777</v>
      </c>
      <c r="G29" s="215" t="s">
        <v>349</v>
      </c>
      <c r="H29" s="215" t="s">
        <v>349</v>
      </c>
      <c r="I29" s="215" t="s">
        <v>349</v>
      </c>
      <c r="J29" s="240">
        <v>1.2</v>
      </c>
      <c r="K29" s="251">
        <v>0.25</v>
      </c>
      <c r="L29" s="310">
        <v>999</v>
      </c>
      <c r="M29" s="253">
        <v>1.2</v>
      </c>
      <c r="N29" s="252">
        <v>0.25</v>
      </c>
      <c r="O29" s="300">
        <v>999</v>
      </c>
      <c r="P29" s="240">
        <v>1.2</v>
      </c>
      <c r="Q29" s="295">
        <v>999</v>
      </c>
      <c r="R29" s="300">
        <v>999</v>
      </c>
    </row>
    <row r="30" spans="1:18" x14ac:dyDescent="0.25">
      <c r="C30" s="169">
        <f t="shared" si="0"/>
        <v>1</v>
      </c>
      <c r="D30" s="214" t="s">
        <v>525</v>
      </c>
      <c r="E30" s="216" t="s">
        <v>686</v>
      </c>
      <c r="F30" s="214" t="s">
        <v>777</v>
      </c>
      <c r="G30" s="217" t="s">
        <v>349</v>
      </c>
      <c r="H30" s="217" t="s">
        <v>349</v>
      </c>
      <c r="I30" s="217" t="s">
        <v>349</v>
      </c>
      <c r="J30" s="241">
        <v>1.2</v>
      </c>
      <c r="K30" s="251">
        <v>0.25</v>
      </c>
      <c r="L30" s="310">
        <v>999</v>
      </c>
      <c r="M30" s="253">
        <v>1.2</v>
      </c>
      <c r="N30" s="252">
        <v>0.25</v>
      </c>
      <c r="O30" s="300">
        <v>999</v>
      </c>
      <c r="P30" s="240">
        <v>1.2</v>
      </c>
      <c r="Q30" s="295">
        <v>999</v>
      </c>
      <c r="R30" s="300">
        <v>999</v>
      </c>
    </row>
    <row r="31" spans="1:18" x14ac:dyDescent="0.25">
      <c r="C31" s="169">
        <f t="shared" si="0"/>
        <v>1</v>
      </c>
      <c r="D31" s="214" t="s">
        <v>525</v>
      </c>
      <c r="E31" s="218" t="s">
        <v>685</v>
      </c>
      <c r="F31" s="218" t="s">
        <v>687</v>
      </c>
      <c r="G31" s="215" t="s">
        <v>349</v>
      </c>
      <c r="H31" s="215" t="s">
        <v>349</v>
      </c>
      <c r="I31" s="215" t="s">
        <v>349</v>
      </c>
      <c r="J31" s="241">
        <v>1.2</v>
      </c>
      <c r="K31" s="252">
        <v>0.25</v>
      </c>
      <c r="L31" s="311">
        <v>999</v>
      </c>
      <c r="M31" s="253">
        <v>1.2</v>
      </c>
      <c r="N31" s="252">
        <v>0.25</v>
      </c>
      <c r="O31" s="300">
        <v>999</v>
      </c>
      <c r="P31" s="240">
        <v>1.2</v>
      </c>
      <c r="Q31" s="295">
        <v>999</v>
      </c>
      <c r="R31" s="300">
        <v>999</v>
      </c>
    </row>
    <row r="32" spans="1:18" x14ac:dyDescent="0.25">
      <c r="C32" s="169">
        <f t="shared" si="0"/>
        <v>1</v>
      </c>
      <c r="D32" s="214" t="s">
        <v>525</v>
      </c>
      <c r="E32" s="218" t="s">
        <v>685</v>
      </c>
      <c r="F32" s="216" t="s">
        <v>688</v>
      </c>
      <c r="G32" s="215" t="s">
        <v>349</v>
      </c>
      <c r="H32" s="215" t="s">
        <v>349</v>
      </c>
      <c r="I32" s="215" t="s">
        <v>349</v>
      </c>
      <c r="J32" s="241">
        <v>1.2</v>
      </c>
      <c r="K32" s="252">
        <v>0.25</v>
      </c>
      <c r="L32" s="311">
        <v>999</v>
      </c>
      <c r="M32" s="253">
        <v>1.2</v>
      </c>
      <c r="N32" s="251">
        <v>0.25</v>
      </c>
      <c r="O32" s="300">
        <v>999</v>
      </c>
      <c r="P32" s="253">
        <v>1.2</v>
      </c>
      <c r="Q32" s="295">
        <v>999</v>
      </c>
      <c r="R32" s="300">
        <v>999</v>
      </c>
    </row>
    <row r="33" spans="1:22" x14ac:dyDescent="0.25">
      <c r="C33" s="169">
        <f t="shared" si="0"/>
        <v>1</v>
      </c>
      <c r="D33" s="214" t="s">
        <v>525</v>
      </c>
      <c r="E33" s="218" t="s">
        <v>685</v>
      </c>
      <c r="F33" s="216" t="s">
        <v>777</v>
      </c>
      <c r="G33" s="215" t="s">
        <v>349</v>
      </c>
      <c r="H33" s="215" t="s">
        <v>349</v>
      </c>
      <c r="I33" s="215" t="s">
        <v>349</v>
      </c>
      <c r="J33" s="241">
        <v>1.2</v>
      </c>
      <c r="K33" s="252">
        <v>0.25</v>
      </c>
      <c r="L33" s="311">
        <v>999</v>
      </c>
      <c r="M33" s="253">
        <v>1.2</v>
      </c>
      <c r="N33" s="251">
        <v>0.25</v>
      </c>
      <c r="O33" s="300">
        <v>999</v>
      </c>
      <c r="P33" s="253">
        <v>1.2</v>
      </c>
      <c r="Q33" s="295">
        <v>999</v>
      </c>
      <c r="R33" s="300">
        <v>999</v>
      </c>
    </row>
    <row r="34" spans="1:22" x14ac:dyDescent="0.25">
      <c r="C34" s="169">
        <f t="shared" si="0"/>
        <v>1</v>
      </c>
      <c r="D34" s="216" t="s">
        <v>238</v>
      </c>
      <c r="E34" s="215" t="s">
        <v>349</v>
      </c>
      <c r="F34" s="215" t="s">
        <v>349</v>
      </c>
      <c r="G34" s="215" t="s">
        <v>470</v>
      </c>
      <c r="H34" s="219" t="s">
        <v>466</v>
      </c>
      <c r="I34" s="307" t="s">
        <v>576</v>
      </c>
      <c r="J34" s="241">
        <v>1.98</v>
      </c>
      <c r="K34" s="251">
        <v>0.36</v>
      </c>
      <c r="L34" s="310">
        <v>999</v>
      </c>
      <c r="M34" s="253">
        <v>1.98</v>
      </c>
      <c r="N34" s="251">
        <v>0.19</v>
      </c>
      <c r="O34" s="300">
        <v>999</v>
      </c>
      <c r="P34" s="253">
        <v>1.98</v>
      </c>
      <c r="Q34" s="295">
        <v>999</v>
      </c>
      <c r="R34" s="300">
        <v>999</v>
      </c>
    </row>
    <row r="35" spans="1:22" x14ac:dyDescent="0.25">
      <c r="C35" s="169">
        <f t="shared" si="0"/>
        <v>1</v>
      </c>
      <c r="D35" s="216" t="s">
        <v>238</v>
      </c>
      <c r="E35" s="215" t="s">
        <v>349</v>
      </c>
      <c r="F35" s="215" t="s">
        <v>349</v>
      </c>
      <c r="G35" s="215" t="s">
        <v>470</v>
      </c>
      <c r="H35" s="219" t="s">
        <v>466</v>
      </c>
      <c r="I35" s="307" t="s">
        <v>577</v>
      </c>
      <c r="J35" s="241">
        <v>1.98</v>
      </c>
      <c r="K35" s="251">
        <v>0.19</v>
      </c>
      <c r="L35" s="310">
        <v>999</v>
      </c>
      <c r="M35" s="253">
        <v>1.98</v>
      </c>
      <c r="N35" s="251">
        <v>0.16</v>
      </c>
      <c r="O35" s="300">
        <v>999</v>
      </c>
      <c r="P35" s="253">
        <v>1.98</v>
      </c>
      <c r="Q35" s="295">
        <v>999</v>
      </c>
      <c r="R35" s="300">
        <v>999</v>
      </c>
    </row>
    <row r="36" spans="1:22" x14ac:dyDescent="0.25">
      <c r="C36" s="169">
        <f t="shared" si="0"/>
        <v>1</v>
      </c>
      <c r="D36" s="216" t="s">
        <v>238</v>
      </c>
      <c r="E36" s="215" t="s">
        <v>349</v>
      </c>
      <c r="F36" s="215" t="s">
        <v>349</v>
      </c>
      <c r="G36" s="215" t="s">
        <v>470</v>
      </c>
      <c r="H36" s="219" t="s">
        <v>467</v>
      </c>
      <c r="I36" s="307" t="s">
        <v>576</v>
      </c>
      <c r="J36" s="241">
        <v>1.9</v>
      </c>
      <c r="K36" s="251">
        <v>0.34</v>
      </c>
      <c r="L36" s="310">
        <v>999</v>
      </c>
      <c r="M36" s="253">
        <v>1.9</v>
      </c>
      <c r="N36" s="251">
        <v>0.27</v>
      </c>
      <c r="O36" s="300">
        <v>999</v>
      </c>
      <c r="P36" s="253">
        <v>1.9</v>
      </c>
      <c r="Q36" s="295">
        <v>999</v>
      </c>
      <c r="R36" s="300">
        <v>999</v>
      </c>
    </row>
    <row r="37" spans="1:22" x14ac:dyDescent="0.25">
      <c r="A37" s="7"/>
      <c r="C37" s="169">
        <f t="shared" si="0"/>
        <v>1</v>
      </c>
      <c r="D37" s="216" t="s">
        <v>238</v>
      </c>
      <c r="E37" s="217" t="s">
        <v>349</v>
      </c>
      <c r="F37" s="217" t="s">
        <v>349</v>
      </c>
      <c r="G37" s="215" t="s">
        <v>470</v>
      </c>
      <c r="H37" s="219" t="s">
        <v>467</v>
      </c>
      <c r="I37" s="307" t="s">
        <v>577</v>
      </c>
      <c r="J37" s="241">
        <v>1.9</v>
      </c>
      <c r="K37" s="251">
        <v>0.27</v>
      </c>
      <c r="L37" s="310">
        <v>999</v>
      </c>
      <c r="M37" s="253">
        <v>1.9</v>
      </c>
      <c r="N37" s="251">
        <v>0.27</v>
      </c>
      <c r="O37" s="300">
        <v>999</v>
      </c>
      <c r="P37" s="253">
        <v>1.9</v>
      </c>
      <c r="Q37" s="295">
        <v>999</v>
      </c>
      <c r="R37" s="300">
        <v>999</v>
      </c>
    </row>
    <row r="38" spans="1:22" x14ac:dyDescent="0.25">
      <c r="A38" s="130"/>
      <c r="C38" s="169">
        <f t="shared" si="0"/>
        <v>1</v>
      </c>
      <c r="D38" s="216" t="s">
        <v>238</v>
      </c>
      <c r="E38" s="215" t="s">
        <v>349</v>
      </c>
      <c r="F38" s="215" t="s">
        <v>349</v>
      </c>
      <c r="G38" s="215" t="s">
        <v>471</v>
      </c>
      <c r="H38" s="220" t="s">
        <v>349</v>
      </c>
      <c r="I38" s="307" t="s">
        <v>576</v>
      </c>
      <c r="J38" s="241">
        <v>1.36</v>
      </c>
      <c r="K38" s="251">
        <v>0.36</v>
      </c>
      <c r="L38" s="310">
        <v>999</v>
      </c>
      <c r="M38" s="253">
        <v>1.36</v>
      </c>
      <c r="N38" s="251">
        <v>0.19</v>
      </c>
      <c r="O38" s="303">
        <v>999</v>
      </c>
      <c r="P38" s="253">
        <v>1.36</v>
      </c>
      <c r="Q38" s="295">
        <v>999</v>
      </c>
      <c r="R38" s="303">
        <v>999</v>
      </c>
      <c r="S38" s="8"/>
      <c r="V38" s="8"/>
    </row>
    <row r="39" spans="1:22" x14ac:dyDescent="0.25">
      <c r="A39" s="8"/>
      <c r="C39" s="169">
        <f t="shared" si="0"/>
        <v>1</v>
      </c>
      <c r="D39" s="216" t="s">
        <v>238</v>
      </c>
      <c r="E39" s="215" t="s">
        <v>349</v>
      </c>
      <c r="F39" s="215" t="s">
        <v>349</v>
      </c>
      <c r="G39" s="215" t="s">
        <v>471</v>
      </c>
      <c r="H39" s="220" t="s">
        <v>349</v>
      </c>
      <c r="I39" s="307" t="s">
        <v>577</v>
      </c>
      <c r="J39" s="241">
        <v>1.36</v>
      </c>
      <c r="K39" s="251">
        <v>0.19</v>
      </c>
      <c r="L39" s="310">
        <v>999</v>
      </c>
      <c r="M39" s="253">
        <v>1.36</v>
      </c>
      <c r="N39" s="251">
        <v>0.19</v>
      </c>
      <c r="O39" s="304">
        <v>999</v>
      </c>
      <c r="P39" s="253">
        <v>1.36</v>
      </c>
      <c r="Q39" s="295">
        <v>999</v>
      </c>
      <c r="R39" s="304">
        <v>999</v>
      </c>
      <c r="S39" s="8"/>
      <c r="V39" s="8"/>
    </row>
    <row r="40" spans="1:22" x14ac:dyDescent="0.25">
      <c r="C40" s="228">
        <v>2</v>
      </c>
      <c r="D40" s="230" t="s">
        <v>525</v>
      </c>
      <c r="E40" s="230" t="s">
        <v>682</v>
      </c>
      <c r="F40" s="230" t="s">
        <v>777</v>
      </c>
      <c r="G40" s="231" t="s">
        <v>349</v>
      </c>
      <c r="H40" s="231" t="s">
        <v>349</v>
      </c>
      <c r="I40" s="231" t="s">
        <v>349</v>
      </c>
      <c r="J40" s="248">
        <v>0.75</v>
      </c>
      <c r="K40" s="249">
        <v>0.25</v>
      </c>
      <c r="L40" s="309">
        <v>999</v>
      </c>
      <c r="M40" s="316">
        <v>0.75</v>
      </c>
      <c r="N40" s="249">
        <v>0.25</v>
      </c>
      <c r="O40" s="305">
        <v>999</v>
      </c>
      <c r="P40" s="316">
        <v>1.2</v>
      </c>
      <c r="Q40" s="293">
        <v>999</v>
      </c>
      <c r="R40" s="305">
        <v>999</v>
      </c>
      <c r="S40" s="8"/>
      <c r="V40" s="8"/>
    </row>
    <row r="41" spans="1:22" x14ac:dyDescent="0.25">
      <c r="C41" s="169">
        <f>C40</f>
        <v>2</v>
      </c>
      <c r="D41" s="214" t="s">
        <v>525</v>
      </c>
      <c r="E41" s="214" t="s">
        <v>683</v>
      </c>
      <c r="F41" s="214" t="s">
        <v>777</v>
      </c>
      <c r="G41" s="215" t="s">
        <v>349</v>
      </c>
      <c r="H41" s="215" t="s">
        <v>349</v>
      </c>
      <c r="I41" s="215" t="s">
        <v>349</v>
      </c>
      <c r="J41" s="240">
        <v>0.75</v>
      </c>
      <c r="K41" s="251">
        <v>0.25</v>
      </c>
      <c r="L41" s="310">
        <v>999</v>
      </c>
      <c r="M41" s="253">
        <v>0.75</v>
      </c>
      <c r="N41" s="251">
        <v>0.25</v>
      </c>
      <c r="O41" s="306">
        <v>999</v>
      </c>
      <c r="P41" s="253">
        <v>1.2</v>
      </c>
      <c r="Q41" s="294">
        <v>999</v>
      </c>
      <c r="R41" s="306">
        <v>999</v>
      </c>
      <c r="S41" s="8"/>
      <c r="V41" s="8"/>
    </row>
    <row r="42" spans="1:22" x14ac:dyDescent="0.25">
      <c r="C42" s="169">
        <f t="shared" ref="C42:C52" si="1">C41</f>
        <v>2</v>
      </c>
      <c r="D42" s="214" t="s">
        <v>525</v>
      </c>
      <c r="E42" s="214" t="s">
        <v>684</v>
      </c>
      <c r="F42" s="214" t="s">
        <v>777</v>
      </c>
      <c r="G42" s="215" t="s">
        <v>349</v>
      </c>
      <c r="H42" s="215" t="s">
        <v>349</v>
      </c>
      <c r="I42" s="215" t="s">
        <v>349</v>
      </c>
      <c r="J42" s="240">
        <v>0.75</v>
      </c>
      <c r="K42" s="251">
        <v>0.25</v>
      </c>
      <c r="L42" s="310">
        <v>999</v>
      </c>
      <c r="M42" s="253">
        <v>0.75</v>
      </c>
      <c r="N42" s="251">
        <v>0.25</v>
      </c>
      <c r="O42" s="306">
        <v>999</v>
      </c>
      <c r="P42" s="253">
        <v>1.2</v>
      </c>
      <c r="Q42" s="294">
        <v>999</v>
      </c>
      <c r="R42" s="306">
        <v>999</v>
      </c>
      <c r="S42" s="8"/>
      <c r="V42" s="8"/>
    </row>
    <row r="43" spans="1:22" x14ac:dyDescent="0.25">
      <c r="C43" s="169">
        <f t="shared" si="1"/>
        <v>2</v>
      </c>
      <c r="D43" s="214" t="s">
        <v>525</v>
      </c>
      <c r="E43" s="216" t="s">
        <v>686</v>
      </c>
      <c r="F43" s="214" t="s">
        <v>777</v>
      </c>
      <c r="G43" s="217" t="s">
        <v>349</v>
      </c>
      <c r="H43" s="217" t="s">
        <v>349</v>
      </c>
      <c r="I43" s="217" t="s">
        <v>349</v>
      </c>
      <c r="J43" s="241">
        <v>0.75</v>
      </c>
      <c r="K43" s="251">
        <v>0.25</v>
      </c>
      <c r="L43" s="310">
        <v>999</v>
      </c>
      <c r="M43" s="253">
        <v>0.75</v>
      </c>
      <c r="N43" s="251">
        <v>0.25</v>
      </c>
      <c r="O43" s="306">
        <v>999</v>
      </c>
      <c r="P43" s="253">
        <v>1.2</v>
      </c>
      <c r="Q43" s="294">
        <v>999</v>
      </c>
      <c r="R43" s="306">
        <v>999</v>
      </c>
    </row>
    <row r="44" spans="1:22" x14ac:dyDescent="0.25">
      <c r="C44" s="169">
        <f t="shared" si="1"/>
        <v>2</v>
      </c>
      <c r="D44" s="214" t="s">
        <v>525</v>
      </c>
      <c r="E44" s="218" t="s">
        <v>685</v>
      </c>
      <c r="F44" s="218" t="s">
        <v>687</v>
      </c>
      <c r="G44" s="215" t="s">
        <v>349</v>
      </c>
      <c r="H44" s="215" t="s">
        <v>349</v>
      </c>
      <c r="I44" s="215" t="s">
        <v>349</v>
      </c>
      <c r="J44" s="241">
        <v>0.7</v>
      </c>
      <c r="K44" s="251">
        <v>0.25</v>
      </c>
      <c r="L44" s="310">
        <v>999</v>
      </c>
      <c r="M44" s="253">
        <v>0.7</v>
      </c>
      <c r="N44" s="251">
        <v>0.25</v>
      </c>
      <c r="O44" s="306">
        <v>999</v>
      </c>
      <c r="P44" s="253">
        <v>1.2</v>
      </c>
      <c r="Q44" s="294">
        <v>999</v>
      </c>
      <c r="R44" s="306">
        <v>999</v>
      </c>
    </row>
    <row r="45" spans="1:22" x14ac:dyDescent="0.25">
      <c r="C45" s="169">
        <f t="shared" si="1"/>
        <v>2</v>
      </c>
      <c r="D45" s="214" t="s">
        <v>525</v>
      </c>
      <c r="E45" s="218" t="s">
        <v>685</v>
      </c>
      <c r="F45" s="216" t="s">
        <v>688</v>
      </c>
      <c r="G45" s="215" t="s">
        <v>349</v>
      </c>
      <c r="H45" s="215" t="s">
        <v>349</v>
      </c>
      <c r="I45" s="215" t="s">
        <v>349</v>
      </c>
      <c r="J45" s="241">
        <v>1.1000000000000001</v>
      </c>
      <c r="K45" s="251">
        <v>0.25</v>
      </c>
      <c r="L45" s="310">
        <v>999</v>
      </c>
      <c r="M45" s="253">
        <v>1.1000000000000001</v>
      </c>
      <c r="N45" s="251">
        <v>0.25</v>
      </c>
      <c r="O45" s="306">
        <v>999</v>
      </c>
      <c r="P45" s="253">
        <v>1.2</v>
      </c>
      <c r="Q45" s="294">
        <v>999</v>
      </c>
      <c r="R45" s="306">
        <v>999</v>
      </c>
    </row>
    <row r="46" spans="1:22" x14ac:dyDescent="0.25">
      <c r="C46" s="169">
        <f t="shared" si="1"/>
        <v>2</v>
      </c>
      <c r="D46" s="214" t="s">
        <v>525</v>
      </c>
      <c r="E46" s="218" t="s">
        <v>685</v>
      </c>
      <c r="F46" s="216" t="s">
        <v>777</v>
      </c>
      <c r="G46" s="215" t="s">
        <v>349</v>
      </c>
      <c r="H46" s="215" t="s">
        <v>349</v>
      </c>
      <c r="I46" s="215" t="s">
        <v>349</v>
      </c>
      <c r="J46" s="241">
        <v>0.75</v>
      </c>
      <c r="K46" s="251">
        <v>0.25</v>
      </c>
      <c r="L46" s="310">
        <v>999</v>
      </c>
      <c r="M46" s="253">
        <v>0.75</v>
      </c>
      <c r="N46" s="251">
        <v>0.25</v>
      </c>
      <c r="O46" s="306">
        <v>999</v>
      </c>
      <c r="P46" s="253">
        <v>1.2</v>
      </c>
      <c r="Q46" s="294">
        <v>999</v>
      </c>
      <c r="R46" s="306">
        <v>999</v>
      </c>
    </row>
    <row r="47" spans="1:22" x14ac:dyDescent="0.25">
      <c r="C47" s="169">
        <f t="shared" si="1"/>
        <v>2</v>
      </c>
      <c r="D47" s="216" t="s">
        <v>238</v>
      </c>
      <c r="E47" s="215" t="s">
        <v>349</v>
      </c>
      <c r="F47" s="215" t="s">
        <v>349</v>
      </c>
      <c r="G47" s="215" t="s">
        <v>470</v>
      </c>
      <c r="H47" s="219" t="s">
        <v>466</v>
      </c>
      <c r="I47" s="307" t="s">
        <v>576</v>
      </c>
      <c r="J47" s="253">
        <v>1.98</v>
      </c>
      <c r="K47" s="251">
        <v>0.36</v>
      </c>
      <c r="L47" s="310">
        <v>999</v>
      </c>
      <c r="M47" s="253">
        <v>1.98</v>
      </c>
      <c r="N47" s="251">
        <v>0.19</v>
      </c>
      <c r="O47" s="306">
        <v>999</v>
      </c>
      <c r="P47" s="253">
        <v>1.98</v>
      </c>
      <c r="Q47" s="294">
        <v>999</v>
      </c>
      <c r="R47" s="306">
        <v>999</v>
      </c>
    </row>
    <row r="48" spans="1:22" x14ac:dyDescent="0.25">
      <c r="C48" s="169">
        <f t="shared" si="1"/>
        <v>2</v>
      </c>
      <c r="D48" s="216" t="s">
        <v>238</v>
      </c>
      <c r="E48" s="215" t="s">
        <v>349</v>
      </c>
      <c r="F48" s="215" t="s">
        <v>349</v>
      </c>
      <c r="G48" s="215" t="s">
        <v>470</v>
      </c>
      <c r="H48" s="219" t="s">
        <v>466</v>
      </c>
      <c r="I48" s="307" t="s">
        <v>577</v>
      </c>
      <c r="J48" s="253">
        <v>1.98</v>
      </c>
      <c r="K48" s="251">
        <v>0.19</v>
      </c>
      <c r="L48" s="310">
        <v>999</v>
      </c>
      <c r="M48" s="253">
        <v>1.98</v>
      </c>
      <c r="N48" s="251">
        <v>0.19</v>
      </c>
      <c r="O48" s="306">
        <v>999</v>
      </c>
      <c r="P48" s="253">
        <v>1.98</v>
      </c>
      <c r="Q48" s="294">
        <v>999</v>
      </c>
      <c r="R48" s="306">
        <v>999</v>
      </c>
    </row>
    <row r="49" spans="1:18" x14ac:dyDescent="0.25">
      <c r="C49" s="169">
        <f t="shared" si="1"/>
        <v>2</v>
      </c>
      <c r="D49" s="216" t="s">
        <v>238</v>
      </c>
      <c r="E49" s="215" t="s">
        <v>349</v>
      </c>
      <c r="F49" s="215" t="s">
        <v>349</v>
      </c>
      <c r="G49" s="215" t="s">
        <v>470</v>
      </c>
      <c r="H49" s="219" t="s">
        <v>467</v>
      </c>
      <c r="I49" s="307" t="s">
        <v>576</v>
      </c>
      <c r="J49" s="253">
        <v>1.9</v>
      </c>
      <c r="K49" s="251">
        <v>0.39</v>
      </c>
      <c r="L49" s="310">
        <v>999</v>
      </c>
      <c r="M49" s="253">
        <v>1.9</v>
      </c>
      <c r="N49" s="251">
        <v>0.27</v>
      </c>
      <c r="O49" s="306">
        <v>999</v>
      </c>
      <c r="P49" s="253">
        <v>1.9</v>
      </c>
      <c r="Q49" s="294">
        <v>999</v>
      </c>
      <c r="R49" s="306">
        <v>999</v>
      </c>
    </row>
    <row r="50" spans="1:18" x14ac:dyDescent="0.25">
      <c r="A50" s="7"/>
      <c r="C50" s="169">
        <f t="shared" si="1"/>
        <v>2</v>
      </c>
      <c r="D50" s="216" t="s">
        <v>238</v>
      </c>
      <c r="E50" s="217" t="s">
        <v>349</v>
      </c>
      <c r="F50" s="217" t="s">
        <v>349</v>
      </c>
      <c r="G50" s="215" t="s">
        <v>470</v>
      </c>
      <c r="H50" s="219" t="s">
        <v>467</v>
      </c>
      <c r="I50" s="307" t="s">
        <v>577</v>
      </c>
      <c r="J50" s="253">
        <v>1.9</v>
      </c>
      <c r="K50" s="251">
        <v>0.34</v>
      </c>
      <c r="L50" s="310">
        <v>999</v>
      </c>
      <c r="M50" s="253">
        <v>1.9</v>
      </c>
      <c r="N50" s="251">
        <v>0.27</v>
      </c>
      <c r="O50" s="306">
        <v>999</v>
      </c>
      <c r="P50" s="253">
        <v>1.9</v>
      </c>
      <c r="Q50" s="294">
        <v>999</v>
      </c>
      <c r="R50" s="306">
        <v>999</v>
      </c>
    </row>
    <row r="51" spans="1:18" x14ac:dyDescent="0.25">
      <c r="A51" s="130"/>
      <c r="C51" s="169">
        <f t="shared" si="1"/>
        <v>2</v>
      </c>
      <c r="D51" s="216" t="s">
        <v>238</v>
      </c>
      <c r="E51" s="215" t="s">
        <v>349</v>
      </c>
      <c r="F51" s="215" t="s">
        <v>349</v>
      </c>
      <c r="G51" s="215" t="s">
        <v>471</v>
      </c>
      <c r="H51" s="220" t="s">
        <v>349</v>
      </c>
      <c r="I51" s="307" t="s">
        <v>576</v>
      </c>
      <c r="J51" s="245">
        <v>1.36</v>
      </c>
      <c r="K51" s="243">
        <v>0.36</v>
      </c>
      <c r="L51" s="312">
        <v>999</v>
      </c>
      <c r="M51" s="245">
        <v>1.36</v>
      </c>
      <c r="N51" s="243">
        <v>0.19</v>
      </c>
      <c r="O51" s="300">
        <v>999</v>
      </c>
      <c r="P51" s="245">
        <v>1.36</v>
      </c>
      <c r="Q51" s="296">
        <v>999</v>
      </c>
      <c r="R51" s="300">
        <v>999</v>
      </c>
    </row>
    <row r="52" spans="1:18" x14ac:dyDescent="0.25">
      <c r="A52" s="8"/>
      <c r="C52" s="165">
        <f t="shared" si="1"/>
        <v>2</v>
      </c>
      <c r="D52" s="225" t="s">
        <v>238</v>
      </c>
      <c r="E52" s="201" t="s">
        <v>349</v>
      </c>
      <c r="F52" s="201" t="s">
        <v>349</v>
      </c>
      <c r="G52" s="201" t="s">
        <v>471</v>
      </c>
      <c r="H52" s="226" t="s">
        <v>349</v>
      </c>
      <c r="I52" s="308" t="s">
        <v>577</v>
      </c>
      <c r="J52" s="246">
        <v>1.36</v>
      </c>
      <c r="K52" s="244">
        <v>0.19</v>
      </c>
      <c r="L52" s="313">
        <v>999</v>
      </c>
      <c r="M52" s="246">
        <v>1.36</v>
      </c>
      <c r="N52" s="244">
        <v>0.19</v>
      </c>
      <c r="O52" s="301">
        <v>999</v>
      </c>
      <c r="P52" s="246">
        <v>1.36</v>
      </c>
      <c r="Q52" s="297">
        <v>999</v>
      </c>
      <c r="R52" s="301">
        <v>999</v>
      </c>
    </row>
    <row r="53" spans="1:18" x14ac:dyDescent="0.25">
      <c r="C53" s="228">
        <v>3</v>
      </c>
      <c r="D53" s="230" t="s">
        <v>525</v>
      </c>
      <c r="E53" s="230" t="s">
        <v>682</v>
      </c>
      <c r="F53" s="230" t="s">
        <v>777</v>
      </c>
      <c r="G53" s="231" t="s">
        <v>349</v>
      </c>
      <c r="H53" s="231" t="s">
        <v>349</v>
      </c>
      <c r="I53" s="231" t="s">
        <v>349</v>
      </c>
      <c r="J53" s="247">
        <v>0.65</v>
      </c>
      <c r="K53" s="242">
        <v>0.25</v>
      </c>
      <c r="L53" s="314">
        <v>999</v>
      </c>
      <c r="M53" s="247">
        <v>0.65</v>
      </c>
      <c r="N53" s="242">
        <v>0.25</v>
      </c>
      <c r="O53" s="299">
        <v>999</v>
      </c>
      <c r="P53" s="247">
        <v>1.2</v>
      </c>
      <c r="Q53" s="298">
        <v>999</v>
      </c>
      <c r="R53" s="299">
        <v>999</v>
      </c>
    </row>
    <row r="54" spans="1:18" x14ac:dyDescent="0.25">
      <c r="C54" s="169">
        <f>C53</f>
        <v>3</v>
      </c>
      <c r="D54" s="214" t="s">
        <v>525</v>
      </c>
      <c r="E54" s="214" t="s">
        <v>683</v>
      </c>
      <c r="F54" s="214" t="s">
        <v>777</v>
      </c>
      <c r="G54" s="215" t="s">
        <v>349</v>
      </c>
      <c r="H54" s="215" t="s">
        <v>349</v>
      </c>
      <c r="I54" s="215" t="s">
        <v>349</v>
      </c>
      <c r="J54" s="245">
        <v>0.65</v>
      </c>
      <c r="K54" s="243">
        <v>0.25</v>
      </c>
      <c r="L54" s="312">
        <v>999</v>
      </c>
      <c r="M54" s="245">
        <v>0.65</v>
      </c>
      <c r="N54" s="243">
        <v>0.25</v>
      </c>
      <c r="O54" s="300">
        <v>999</v>
      </c>
      <c r="P54" s="245">
        <v>1.2</v>
      </c>
      <c r="Q54" s="296">
        <v>999</v>
      </c>
      <c r="R54" s="300">
        <v>999</v>
      </c>
    </row>
    <row r="55" spans="1:18" x14ac:dyDescent="0.25">
      <c r="C55" s="169">
        <f t="shared" ref="C55:C65" si="2">C54</f>
        <v>3</v>
      </c>
      <c r="D55" s="214" t="s">
        <v>525</v>
      </c>
      <c r="E55" s="214" t="s">
        <v>684</v>
      </c>
      <c r="F55" s="214" t="s">
        <v>777</v>
      </c>
      <c r="G55" s="215" t="s">
        <v>349</v>
      </c>
      <c r="H55" s="215" t="s">
        <v>349</v>
      </c>
      <c r="I55" s="215" t="s">
        <v>349</v>
      </c>
      <c r="J55" s="245">
        <v>0.65</v>
      </c>
      <c r="K55" s="243">
        <v>0.25</v>
      </c>
      <c r="L55" s="312">
        <v>999</v>
      </c>
      <c r="M55" s="245">
        <v>0.65</v>
      </c>
      <c r="N55" s="243">
        <v>0.25</v>
      </c>
      <c r="O55" s="300">
        <v>999</v>
      </c>
      <c r="P55" s="245">
        <v>1.2</v>
      </c>
      <c r="Q55" s="296">
        <v>999</v>
      </c>
      <c r="R55" s="300">
        <v>999</v>
      </c>
    </row>
    <row r="56" spans="1:18" x14ac:dyDescent="0.25">
      <c r="C56" s="169">
        <f t="shared" si="2"/>
        <v>3</v>
      </c>
      <c r="D56" s="214" t="s">
        <v>525</v>
      </c>
      <c r="E56" s="216" t="s">
        <v>686</v>
      </c>
      <c r="F56" s="214" t="s">
        <v>777</v>
      </c>
      <c r="G56" s="217" t="s">
        <v>349</v>
      </c>
      <c r="H56" s="217" t="s">
        <v>349</v>
      </c>
      <c r="I56" s="217" t="s">
        <v>349</v>
      </c>
      <c r="J56" s="245">
        <v>0.65</v>
      </c>
      <c r="K56" s="243">
        <v>0.25</v>
      </c>
      <c r="L56" s="312">
        <v>999</v>
      </c>
      <c r="M56" s="245">
        <v>0.65</v>
      </c>
      <c r="N56" s="243">
        <v>0.25</v>
      </c>
      <c r="O56" s="300">
        <v>999</v>
      </c>
      <c r="P56" s="245">
        <v>1.2</v>
      </c>
      <c r="Q56" s="296">
        <v>999</v>
      </c>
      <c r="R56" s="300">
        <v>999</v>
      </c>
    </row>
    <row r="57" spans="1:18" x14ac:dyDescent="0.25">
      <c r="C57" s="169">
        <f t="shared" si="2"/>
        <v>3</v>
      </c>
      <c r="D57" s="214" t="s">
        <v>525</v>
      </c>
      <c r="E57" s="218" t="s">
        <v>685</v>
      </c>
      <c r="F57" s="218" t="s">
        <v>687</v>
      </c>
      <c r="G57" s="215" t="s">
        <v>349</v>
      </c>
      <c r="H57" s="215" t="s">
        <v>349</v>
      </c>
      <c r="I57" s="215" t="s">
        <v>349</v>
      </c>
      <c r="J57" s="245">
        <v>0.6</v>
      </c>
      <c r="K57" s="243">
        <v>0.25</v>
      </c>
      <c r="L57" s="312">
        <v>999</v>
      </c>
      <c r="M57" s="245">
        <v>0.6</v>
      </c>
      <c r="N57" s="243">
        <v>0.25</v>
      </c>
      <c r="O57" s="300">
        <v>999</v>
      </c>
      <c r="P57" s="245">
        <v>1.2</v>
      </c>
      <c r="Q57" s="296">
        <v>999</v>
      </c>
      <c r="R57" s="300">
        <v>999</v>
      </c>
    </row>
    <row r="58" spans="1:18" x14ac:dyDescent="0.25">
      <c r="C58" s="169">
        <f t="shared" si="2"/>
        <v>3</v>
      </c>
      <c r="D58" s="214" t="s">
        <v>525</v>
      </c>
      <c r="E58" s="218" t="s">
        <v>685</v>
      </c>
      <c r="F58" s="216" t="s">
        <v>688</v>
      </c>
      <c r="G58" s="215" t="s">
        <v>349</v>
      </c>
      <c r="H58" s="215" t="s">
        <v>349</v>
      </c>
      <c r="I58" s="215" t="s">
        <v>349</v>
      </c>
      <c r="J58" s="245">
        <v>0.9</v>
      </c>
      <c r="K58" s="243">
        <v>0.25</v>
      </c>
      <c r="L58" s="312">
        <v>999</v>
      </c>
      <c r="M58" s="245">
        <v>0.9</v>
      </c>
      <c r="N58" s="243">
        <v>0.25</v>
      </c>
      <c r="O58" s="300">
        <v>999</v>
      </c>
      <c r="P58" s="245">
        <v>1.2</v>
      </c>
      <c r="Q58" s="296">
        <v>999</v>
      </c>
      <c r="R58" s="300">
        <v>999</v>
      </c>
    </row>
    <row r="59" spans="1:18" x14ac:dyDescent="0.25">
      <c r="C59" s="169">
        <f t="shared" si="2"/>
        <v>3</v>
      </c>
      <c r="D59" s="214" t="s">
        <v>525</v>
      </c>
      <c r="E59" s="218" t="s">
        <v>685</v>
      </c>
      <c r="F59" s="216" t="s">
        <v>777</v>
      </c>
      <c r="G59" s="215" t="s">
        <v>349</v>
      </c>
      <c r="H59" s="215" t="s">
        <v>349</v>
      </c>
      <c r="I59" s="215" t="s">
        <v>349</v>
      </c>
      <c r="J59" s="245">
        <v>0.65</v>
      </c>
      <c r="K59" s="243">
        <v>0.25</v>
      </c>
      <c r="L59" s="312">
        <v>999</v>
      </c>
      <c r="M59" s="245">
        <v>0.65</v>
      </c>
      <c r="N59" s="243">
        <v>0.25</v>
      </c>
      <c r="O59" s="300">
        <v>999</v>
      </c>
      <c r="P59" s="245">
        <v>1.2</v>
      </c>
      <c r="Q59" s="296">
        <v>999</v>
      </c>
      <c r="R59" s="300">
        <v>999</v>
      </c>
    </row>
    <row r="60" spans="1:18" x14ac:dyDescent="0.25">
      <c r="C60" s="169">
        <f t="shared" si="2"/>
        <v>3</v>
      </c>
      <c r="D60" s="216" t="s">
        <v>238</v>
      </c>
      <c r="E60" s="215" t="s">
        <v>349</v>
      </c>
      <c r="F60" s="215" t="s">
        <v>349</v>
      </c>
      <c r="G60" s="215" t="s">
        <v>470</v>
      </c>
      <c r="H60" s="219" t="s">
        <v>466</v>
      </c>
      <c r="I60" s="307" t="s">
        <v>576</v>
      </c>
      <c r="J60" s="245">
        <v>1.17</v>
      </c>
      <c r="K60" s="243">
        <v>0.39</v>
      </c>
      <c r="L60" s="312">
        <v>999</v>
      </c>
      <c r="M60" s="245">
        <v>1.17</v>
      </c>
      <c r="N60" s="243">
        <v>0.36</v>
      </c>
      <c r="O60" s="300">
        <v>999</v>
      </c>
      <c r="P60" s="245">
        <v>1.98</v>
      </c>
      <c r="Q60" s="296">
        <v>999</v>
      </c>
      <c r="R60" s="300">
        <v>999</v>
      </c>
    </row>
    <row r="61" spans="1:18" x14ac:dyDescent="0.25">
      <c r="C61" s="169">
        <f t="shared" si="2"/>
        <v>3</v>
      </c>
      <c r="D61" s="216" t="s">
        <v>238</v>
      </c>
      <c r="E61" s="215" t="s">
        <v>349</v>
      </c>
      <c r="F61" s="215" t="s">
        <v>349</v>
      </c>
      <c r="G61" s="215" t="s">
        <v>470</v>
      </c>
      <c r="H61" s="219" t="s">
        <v>466</v>
      </c>
      <c r="I61" s="307" t="s">
        <v>577</v>
      </c>
      <c r="J61" s="245">
        <v>1.17</v>
      </c>
      <c r="K61" s="243">
        <v>0.19</v>
      </c>
      <c r="L61" s="312">
        <v>999</v>
      </c>
      <c r="M61" s="245">
        <v>1.17</v>
      </c>
      <c r="N61" s="243">
        <v>0.19</v>
      </c>
      <c r="O61" s="300">
        <v>999</v>
      </c>
      <c r="P61" s="245">
        <v>1.98</v>
      </c>
      <c r="Q61" s="296">
        <v>999</v>
      </c>
      <c r="R61" s="300">
        <v>999</v>
      </c>
    </row>
    <row r="62" spans="1:18" x14ac:dyDescent="0.25">
      <c r="C62" s="169">
        <f t="shared" si="2"/>
        <v>3</v>
      </c>
      <c r="D62" s="216" t="s">
        <v>238</v>
      </c>
      <c r="E62" s="215" t="s">
        <v>349</v>
      </c>
      <c r="F62" s="215" t="s">
        <v>349</v>
      </c>
      <c r="G62" s="215" t="s">
        <v>470</v>
      </c>
      <c r="H62" s="219" t="s">
        <v>467</v>
      </c>
      <c r="I62" s="307" t="s">
        <v>576</v>
      </c>
      <c r="J62" s="245">
        <v>1.3</v>
      </c>
      <c r="K62" s="243">
        <v>0.65</v>
      </c>
      <c r="L62" s="312">
        <v>999</v>
      </c>
      <c r="M62" s="245">
        <v>1.3</v>
      </c>
      <c r="N62" s="243">
        <v>0.27</v>
      </c>
      <c r="O62" s="300">
        <v>999</v>
      </c>
      <c r="P62" s="245">
        <v>1.9</v>
      </c>
      <c r="Q62" s="296">
        <v>999</v>
      </c>
      <c r="R62" s="300">
        <v>999</v>
      </c>
    </row>
    <row r="63" spans="1:18" x14ac:dyDescent="0.25">
      <c r="A63" s="7"/>
      <c r="C63" s="169">
        <f t="shared" si="2"/>
        <v>3</v>
      </c>
      <c r="D63" s="216" t="s">
        <v>238</v>
      </c>
      <c r="E63" s="217" t="s">
        <v>349</v>
      </c>
      <c r="F63" s="217" t="s">
        <v>349</v>
      </c>
      <c r="G63" s="215" t="s">
        <v>470</v>
      </c>
      <c r="H63" s="219" t="s">
        <v>467</v>
      </c>
      <c r="I63" s="307" t="s">
        <v>577</v>
      </c>
      <c r="J63" s="245">
        <v>1.3</v>
      </c>
      <c r="K63" s="243">
        <v>0.34</v>
      </c>
      <c r="L63" s="312">
        <v>999</v>
      </c>
      <c r="M63" s="245">
        <v>1.3</v>
      </c>
      <c r="N63" s="243">
        <v>0.27</v>
      </c>
      <c r="O63" s="300">
        <v>999</v>
      </c>
      <c r="P63" s="245">
        <v>1.9</v>
      </c>
      <c r="Q63" s="296">
        <v>999</v>
      </c>
      <c r="R63" s="300">
        <v>999</v>
      </c>
    </row>
    <row r="64" spans="1:18" x14ac:dyDescent="0.25">
      <c r="A64" s="130"/>
      <c r="C64" s="169">
        <f t="shared" si="2"/>
        <v>3</v>
      </c>
      <c r="D64" s="216" t="s">
        <v>238</v>
      </c>
      <c r="E64" s="215" t="s">
        <v>349</v>
      </c>
      <c r="F64" s="215" t="s">
        <v>349</v>
      </c>
      <c r="G64" s="215" t="s">
        <v>471</v>
      </c>
      <c r="H64" s="220" t="s">
        <v>349</v>
      </c>
      <c r="I64" s="307" t="s">
        <v>576</v>
      </c>
      <c r="J64" s="245">
        <v>0.69</v>
      </c>
      <c r="K64" s="243">
        <v>0.39</v>
      </c>
      <c r="L64" s="312">
        <v>999</v>
      </c>
      <c r="M64" s="245">
        <v>0.69</v>
      </c>
      <c r="N64" s="243">
        <v>0.36</v>
      </c>
      <c r="O64" s="300">
        <v>999</v>
      </c>
      <c r="P64" s="245">
        <v>1.36</v>
      </c>
      <c r="Q64" s="296">
        <v>999</v>
      </c>
      <c r="R64" s="300">
        <v>999</v>
      </c>
    </row>
    <row r="65" spans="1:18" x14ac:dyDescent="0.25">
      <c r="A65" s="8"/>
      <c r="C65" s="165">
        <f t="shared" si="2"/>
        <v>3</v>
      </c>
      <c r="D65" s="225" t="s">
        <v>238</v>
      </c>
      <c r="E65" s="201" t="s">
        <v>349</v>
      </c>
      <c r="F65" s="201" t="s">
        <v>349</v>
      </c>
      <c r="G65" s="201" t="s">
        <v>471</v>
      </c>
      <c r="H65" s="226" t="s">
        <v>349</v>
      </c>
      <c r="I65" s="308" t="s">
        <v>577</v>
      </c>
      <c r="J65" s="246">
        <v>0.69</v>
      </c>
      <c r="K65" s="244">
        <v>0.19</v>
      </c>
      <c r="L65" s="313">
        <v>999</v>
      </c>
      <c r="M65" s="246">
        <v>0.69</v>
      </c>
      <c r="N65" s="244">
        <v>0.19</v>
      </c>
      <c r="O65" s="301">
        <v>999</v>
      </c>
      <c r="P65" s="246">
        <v>1.36</v>
      </c>
      <c r="Q65" s="297">
        <v>999</v>
      </c>
      <c r="R65" s="301">
        <v>999</v>
      </c>
    </row>
    <row r="66" spans="1:18" x14ac:dyDescent="0.25">
      <c r="C66" s="228">
        <v>4</v>
      </c>
      <c r="D66" s="230" t="s">
        <v>525</v>
      </c>
      <c r="E66" s="230" t="s">
        <v>682</v>
      </c>
      <c r="F66" s="230" t="s">
        <v>777</v>
      </c>
      <c r="G66" s="231" t="s">
        <v>349</v>
      </c>
      <c r="H66" s="231" t="s">
        <v>349</v>
      </c>
      <c r="I66" s="231" t="s">
        <v>349</v>
      </c>
      <c r="J66" s="247">
        <v>0.4</v>
      </c>
      <c r="K66" s="242">
        <v>0.4</v>
      </c>
      <c r="L66" s="314">
        <v>999</v>
      </c>
      <c r="M66" s="247">
        <v>0.4</v>
      </c>
      <c r="N66" s="242">
        <v>0.4</v>
      </c>
      <c r="O66" s="299">
        <v>999</v>
      </c>
      <c r="P66" s="247">
        <v>1.2</v>
      </c>
      <c r="Q66" s="298">
        <v>999</v>
      </c>
      <c r="R66" s="299">
        <v>999</v>
      </c>
    </row>
    <row r="67" spans="1:18" x14ac:dyDescent="0.25">
      <c r="C67" s="169">
        <f>C66</f>
        <v>4</v>
      </c>
      <c r="D67" s="214" t="s">
        <v>525</v>
      </c>
      <c r="E67" s="214" t="s">
        <v>683</v>
      </c>
      <c r="F67" s="214" t="s">
        <v>777</v>
      </c>
      <c r="G67" s="215" t="s">
        <v>349</v>
      </c>
      <c r="H67" s="215" t="s">
        <v>349</v>
      </c>
      <c r="I67" s="215" t="s">
        <v>349</v>
      </c>
      <c r="J67" s="245">
        <v>0.4</v>
      </c>
      <c r="K67" s="243">
        <v>0.4</v>
      </c>
      <c r="L67" s="312">
        <v>999</v>
      </c>
      <c r="M67" s="245">
        <v>0.4</v>
      </c>
      <c r="N67" s="243">
        <v>0.4</v>
      </c>
      <c r="O67" s="300">
        <v>999</v>
      </c>
      <c r="P67" s="245">
        <v>1.2</v>
      </c>
      <c r="Q67" s="296">
        <v>999</v>
      </c>
      <c r="R67" s="300">
        <v>999</v>
      </c>
    </row>
    <row r="68" spans="1:18" x14ac:dyDescent="0.25">
      <c r="C68" s="169">
        <f t="shared" ref="C68:C78" si="3">C67</f>
        <v>4</v>
      </c>
      <c r="D68" s="214" t="s">
        <v>525</v>
      </c>
      <c r="E68" s="214" t="s">
        <v>684</v>
      </c>
      <c r="F68" s="214" t="s">
        <v>777</v>
      </c>
      <c r="G68" s="215" t="s">
        <v>349</v>
      </c>
      <c r="H68" s="215" t="s">
        <v>349</v>
      </c>
      <c r="I68" s="215" t="s">
        <v>349</v>
      </c>
      <c r="J68" s="245">
        <v>0.4</v>
      </c>
      <c r="K68" s="243">
        <v>0.4</v>
      </c>
      <c r="L68" s="312">
        <v>999</v>
      </c>
      <c r="M68" s="245">
        <v>0.4</v>
      </c>
      <c r="N68" s="243">
        <v>0.4</v>
      </c>
      <c r="O68" s="300">
        <v>999</v>
      </c>
      <c r="P68" s="245">
        <v>1.2</v>
      </c>
      <c r="Q68" s="296">
        <v>999</v>
      </c>
      <c r="R68" s="300">
        <v>999</v>
      </c>
    </row>
    <row r="69" spans="1:18" x14ac:dyDescent="0.25">
      <c r="C69" s="169">
        <f t="shared" si="3"/>
        <v>4</v>
      </c>
      <c r="D69" s="214" t="s">
        <v>525</v>
      </c>
      <c r="E69" s="216" t="s">
        <v>686</v>
      </c>
      <c r="F69" s="214" t="s">
        <v>777</v>
      </c>
      <c r="G69" s="217" t="s">
        <v>349</v>
      </c>
      <c r="H69" s="217" t="s">
        <v>349</v>
      </c>
      <c r="I69" s="217" t="s">
        <v>349</v>
      </c>
      <c r="J69" s="245">
        <v>0.4</v>
      </c>
      <c r="K69" s="243">
        <v>0.4</v>
      </c>
      <c r="L69" s="312">
        <v>999</v>
      </c>
      <c r="M69" s="245">
        <v>0.4</v>
      </c>
      <c r="N69" s="243">
        <v>0.4</v>
      </c>
      <c r="O69" s="300">
        <v>999</v>
      </c>
      <c r="P69" s="245">
        <v>1.2</v>
      </c>
      <c r="Q69" s="296">
        <v>999</v>
      </c>
      <c r="R69" s="300">
        <v>999</v>
      </c>
    </row>
    <row r="70" spans="1:18" x14ac:dyDescent="0.25">
      <c r="C70" s="169">
        <f t="shared" si="3"/>
        <v>4</v>
      </c>
      <c r="D70" s="214" t="s">
        <v>525</v>
      </c>
      <c r="E70" s="218" t="s">
        <v>685</v>
      </c>
      <c r="F70" s="218" t="s">
        <v>687</v>
      </c>
      <c r="G70" s="215" t="s">
        <v>349</v>
      </c>
      <c r="H70" s="215" t="s">
        <v>349</v>
      </c>
      <c r="I70" s="215" t="s">
        <v>349</v>
      </c>
      <c r="J70" s="245">
        <v>0.5</v>
      </c>
      <c r="K70" s="243">
        <v>0.4</v>
      </c>
      <c r="L70" s="312">
        <v>999</v>
      </c>
      <c r="M70" s="245">
        <v>0.5</v>
      </c>
      <c r="N70" s="243">
        <v>0.4</v>
      </c>
      <c r="O70" s="300">
        <v>999</v>
      </c>
      <c r="P70" s="245">
        <v>1.2</v>
      </c>
      <c r="Q70" s="296">
        <v>999</v>
      </c>
      <c r="R70" s="300">
        <v>999</v>
      </c>
    </row>
    <row r="71" spans="1:18" x14ac:dyDescent="0.25">
      <c r="C71" s="169">
        <f t="shared" si="3"/>
        <v>4</v>
      </c>
      <c r="D71" s="214" t="s">
        <v>525</v>
      </c>
      <c r="E71" s="218" t="s">
        <v>685</v>
      </c>
      <c r="F71" s="216" t="s">
        <v>688</v>
      </c>
      <c r="G71" s="215" t="s">
        <v>349</v>
      </c>
      <c r="H71" s="215" t="s">
        <v>349</v>
      </c>
      <c r="I71" s="215" t="s">
        <v>349</v>
      </c>
      <c r="J71" s="245">
        <v>0.85</v>
      </c>
      <c r="K71" s="243">
        <v>0.4</v>
      </c>
      <c r="L71" s="312">
        <v>999</v>
      </c>
      <c r="M71" s="245">
        <v>0.85</v>
      </c>
      <c r="N71" s="243">
        <v>0.4</v>
      </c>
      <c r="O71" s="300">
        <v>999</v>
      </c>
      <c r="P71" s="245">
        <v>1.2</v>
      </c>
      <c r="Q71" s="296">
        <v>999</v>
      </c>
      <c r="R71" s="300">
        <v>999</v>
      </c>
    </row>
    <row r="72" spans="1:18" x14ac:dyDescent="0.25">
      <c r="C72" s="169">
        <f t="shared" si="3"/>
        <v>4</v>
      </c>
      <c r="D72" s="214" t="s">
        <v>525</v>
      </c>
      <c r="E72" s="218" t="s">
        <v>685</v>
      </c>
      <c r="F72" s="216" t="s">
        <v>777</v>
      </c>
      <c r="G72" s="215" t="s">
        <v>349</v>
      </c>
      <c r="H72" s="215" t="s">
        <v>349</v>
      </c>
      <c r="I72" s="215" t="s">
        <v>349</v>
      </c>
      <c r="J72" s="245">
        <v>0.55000000000000004</v>
      </c>
      <c r="K72" s="243">
        <v>0.4</v>
      </c>
      <c r="L72" s="312">
        <v>999</v>
      </c>
      <c r="M72" s="245">
        <v>0.55000000000000004</v>
      </c>
      <c r="N72" s="243">
        <v>0.4</v>
      </c>
      <c r="O72" s="300">
        <v>999</v>
      </c>
      <c r="P72" s="245">
        <v>1.2</v>
      </c>
      <c r="Q72" s="296">
        <v>999</v>
      </c>
      <c r="R72" s="300">
        <v>999</v>
      </c>
    </row>
    <row r="73" spans="1:18" x14ac:dyDescent="0.25">
      <c r="C73" s="169">
        <f t="shared" si="3"/>
        <v>4</v>
      </c>
      <c r="D73" s="216" t="s">
        <v>238</v>
      </c>
      <c r="E73" s="215" t="s">
        <v>349</v>
      </c>
      <c r="F73" s="215" t="s">
        <v>349</v>
      </c>
      <c r="G73" s="215" t="s">
        <v>470</v>
      </c>
      <c r="H73" s="219" t="s">
        <v>466</v>
      </c>
      <c r="I73" s="307" t="s">
        <v>576</v>
      </c>
      <c r="J73" s="245">
        <v>1.17</v>
      </c>
      <c r="K73" s="243">
        <v>0.49</v>
      </c>
      <c r="L73" s="312">
        <v>999</v>
      </c>
      <c r="M73" s="245">
        <v>0.98</v>
      </c>
      <c r="N73" s="243">
        <v>0.36</v>
      </c>
      <c r="O73" s="300">
        <v>999</v>
      </c>
      <c r="P73" s="245">
        <v>1.98</v>
      </c>
      <c r="Q73" s="296">
        <v>999</v>
      </c>
      <c r="R73" s="300">
        <v>999</v>
      </c>
    </row>
    <row r="74" spans="1:18" x14ac:dyDescent="0.25">
      <c r="C74" s="169">
        <f t="shared" si="3"/>
        <v>4</v>
      </c>
      <c r="D74" s="216" t="s">
        <v>238</v>
      </c>
      <c r="E74" s="215" t="s">
        <v>349</v>
      </c>
      <c r="F74" s="215" t="s">
        <v>349</v>
      </c>
      <c r="G74" s="215" t="s">
        <v>470</v>
      </c>
      <c r="H74" s="219" t="s">
        <v>466</v>
      </c>
      <c r="I74" s="307" t="s">
        <v>577</v>
      </c>
      <c r="J74" s="245">
        <v>1.17</v>
      </c>
      <c r="K74" s="243">
        <v>0.39</v>
      </c>
      <c r="L74" s="312">
        <v>999</v>
      </c>
      <c r="M74" s="245">
        <v>0.98</v>
      </c>
      <c r="N74" s="243">
        <v>0.19</v>
      </c>
      <c r="O74" s="300">
        <v>999</v>
      </c>
      <c r="P74" s="245">
        <v>1.98</v>
      </c>
      <c r="Q74" s="296">
        <v>999</v>
      </c>
      <c r="R74" s="300">
        <v>999</v>
      </c>
    </row>
    <row r="75" spans="1:18" x14ac:dyDescent="0.25">
      <c r="C75" s="169">
        <f t="shared" si="3"/>
        <v>4</v>
      </c>
      <c r="D75" s="216" t="s">
        <v>238</v>
      </c>
      <c r="E75" s="215" t="s">
        <v>349</v>
      </c>
      <c r="F75" s="215" t="s">
        <v>349</v>
      </c>
      <c r="G75" s="215" t="s">
        <v>470</v>
      </c>
      <c r="H75" s="219" t="s">
        <v>467</v>
      </c>
      <c r="I75" s="307" t="s">
        <v>576</v>
      </c>
      <c r="J75" s="245">
        <v>1.3</v>
      </c>
      <c r="K75" s="243">
        <v>0.65</v>
      </c>
      <c r="L75" s="312">
        <v>999</v>
      </c>
      <c r="M75" s="245">
        <v>1.3</v>
      </c>
      <c r="N75" s="243">
        <v>0.62</v>
      </c>
      <c r="O75" s="300">
        <v>999</v>
      </c>
      <c r="P75" s="245">
        <v>1.9</v>
      </c>
      <c r="Q75" s="296">
        <v>999</v>
      </c>
      <c r="R75" s="300">
        <v>999</v>
      </c>
    </row>
    <row r="76" spans="1:18" x14ac:dyDescent="0.25">
      <c r="A76" s="7"/>
      <c r="C76" s="169">
        <f t="shared" si="3"/>
        <v>4</v>
      </c>
      <c r="D76" s="216" t="s">
        <v>238</v>
      </c>
      <c r="E76" s="217" t="s">
        <v>349</v>
      </c>
      <c r="F76" s="217" t="s">
        <v>349</v>
      </c>
      <c r="G76" s="215" t="s">
        <v>470</v>
      </c>
      <c r="H76" s="219" t="s">
        <v>467</v>
      </c>
      <c r="I76" s="307" t="s">
        <v>577</v>
      </c>
      <c r="J76" s="245">
        <v>1.3</v>
      </c>
      <c r="K76" s="243">
        <v>0.34</v>
      </c>
      <c r="L76" s="312">
        <v>999</v>
      </c>
      <c r="M76" s="245">
        <v>1.3</v>
      </c>
      <c r="N76" s="243">
        <v>0.27</v>
      </c>
      <c r="O76" s="300">
        <v>999</v>
      </c>
      <c r="P76" s="245">
        <v>1.9</v>
      </c>
      <c r="Q76" s="296">
        <v>999</v>
      </c>
      <c r="R76" s="300">
        <v>999</v>
      </c>
    </row>
    <row r="77" spans="1:18" x14ac:dyDescent="0.25">
      <c r="A77" s="130"/>
      <c r="C77" s="169">
        <f t="shared" si="3"/>
        <v>4</v>
      </c>
      <c r="D77" s="216" t="s">
        <v>238</v>
      </c>
      <c r="E77" s="215" t="s">
        <v>349</v>
      </c>
      <c r="F77" s="215" t="s">
        <v>349</v>
      </c>
      <c r="G77" s="215" t="s">
        <v>471</v>
      </c>
      <c r="H77" s="220" t="s">
        <v>349</v>
      </c>
      <c r="I77" s="307" t="s">
        <v>576</v>
      </c>
      <c r="J77" s="245">
        <v>0.69</v>
      </c>
      <c r="K77" s="243">
        <v>0.49</v>
      </c>
      <c r="L77" s="312">
        <v>999</v>
      </c>
      <c r="M77" s="245">
        <v>0.57999999999999996</v>
      </c>
      <c r="N77" s="243">
        <v>0.36</v>
      </c>
      <c r="O77" s="300">
        <v>999</v>
      </c>
      <c r="P77" s="245">
        <v>1.36</v>
      </c>
      <c r="Q77" s="296">
        <v>999</v>
      </c>
      <c r="R77" s="300">
        <v>999</v>
      </c>
    </row>
    <row r="78" spans="1:18" x14ac:dyDescent="0.25">
      <c r="A78" s="8"/>
      <c r="C78" s="165">
        <f t="shared" si="3"/>
        <v>4</v>
      </c>
      <c r="D78" s="225" t="s">
        <v>238</v>
      </c>
      <c r="E78" s="201" t="s">
        <v>349</v>
      </c>
      <c r="F78" s="201" t="s">
        <v>349</v>
      </c>
      <c r="G78" s="201" t="s">
        <v>471</v>
      </c>
      <c r="H78" s="226" t="s">
        <v>349</v>
      </c>
      <c r="I78" s="308" t="s">
        <v>577</v>
      </c>
      <c r="J78" s="246">
        <v>0.69</v>
      </c>
      <c r="K78" s="244">
        <v>0.39</v>
      </c>
      <c r="L78" s="313">
        <v>999</v>
      </c>
      <c r="M78" s="246">
        <v>0.57999999999999996</v>
      </c>
      <c r="N78" s="244">
        <v>0.19</v>
      </c>
      <c r="O78" s="301">
        <v>999</v>
      </c>
      <c r="P78" s="246">
        <v>1.36</v>
      </c>
      <c r="Q78" s="297">
        <v>999</v>
      </c>
      <c r="R78" s="301">
        <v>999</v>
      </c>
    </row>
    <row r="79" spans="1:18" x14ac:dyDescent="0.25">
      <c r="C79" s="228">
        <v>5</v>
      </c>
      <c r="D79" s="230" t="s">
        <v>525</v>
      </c>
      <c r="E79" s="230" t="s">
        <v>682</v>
      </c>
      <c r="F79" s="230" t="s">
        <v>777</v>
      </c>
      <c r="G79" s="231" t="s">
        <v>349</v>
      </c>
      <c r="H79" s="231" t="s">
        <v>349</v>
      </c>
      <c r="I79" s="231" t="s">
        <v>349</v>
      </c>
      <c r="J79" s="247">
        <v>0.35</v>
      </c>
      <c r="K79" s="242">
        <v>0.4</v>
      </c>
      <c r="L79" s="314">
        <v>999</v>
      </c>
      <c r="M79" s="247">
        <v>0.35</v>
      </c>
      <c r="N79" s="242">
        <v>0.4</v>
      </c>
      <c r="O79" s="299">
        <v>999</v>
      </c>
      <c r="P79" s="247">
        <v>1.2</v>
      </c>
      <c r="Q79" s="298">
        <v>999</v>
      </c>
      <c r="R79" s="299">
        <v>999</v>
      </c>
    </row>
    <row r="80" spans="1:18" x14ac:dyDescent="0.25">
      <c r="C80" s="169">
        <f>C79</f>
        <v>5</v>
      </c>
      <c r="D80" s="214" t="s">
        <v>525</v>
      </c>
      <c r="E80" s="214" t="s">
        <v>683</v>
      </c>
      <c r="F80" s="214" t="s">
        <v>777</v>
      </c>
      <c r="G80" s="215" t="s">
        <v>349</v>
      </c>
      <c r="H80" s="215" t="s">
        <v>349</v>
      </c>
      <c r="I80" s="215" t="s">
        <v>349</v>
      </c>
      <c r="J80" s="245">
        <v>0.35</v>
      </c>
      <c r="K80" s="243">
        <v>0.4</v>
      </c>
      <c r="L80" s="312">
        <v>999</v>
      </c>
      <c r="M80" s="245">
        <v>0.35</v>
      </c>
      <c r="N80" s="243">
        <v>0.4</v>
      </c>
      <c r="O80" s="300">
        <v>999</v>
      </c>
      <c r="P80" s="245">
        <v>1.2</v>
      </c>
      <c r="Q80" s="296">
        <v>999</v>
      </c>
      <c r="R80" s="300">
        <v>999</v>
      </c>
    </row>
    <row r="81" spans="1:18" x14ac:dyDescent="0.25">
      <c r="C81" s="169">
        <f t="shared" ref="C81:C91" si="4">C80</f>
        <v>5</v>
      </c>
      <c r="D81" s="214" t="s">
        <v>525</v>
      </c>
      <c r="E81" s="214" t="s">
        <v>684</v>
      </c>
      <c r="F81" s="214" t="s">
        <v>777</v>
      </c>
      <c r="G81" s="215" t="s">
        <v>349</v>
      </c>
      <c r="H81" s="215" t="s">
        <v>349</v>
      </c>
      <c r="I81" s="215" t="s">
        <v>349</v>
      </c>
      <c r="J81" s="245">
        <v>0.35</v>
      </c>
      <c r="K81" s="243">
        <v>0.4</v>
      </c>
      <c r="L81" s="312">
        <v>999</v>
      </c>
      <c r="M81" s="245">
        <v>0.35</v>
      </c>
      <c r="N81" s="243">
        <v>0.4</v>
      </c>
      <c r="O81" s="300">
        <v>999</v>
      </c>
      <c r="P81" s="245">
        <v>1.2</v>
      </c>
      <c r="Q81" s="296">
        <v>999</v>
      </c>
      <c r="R81" s="300">
        <v>999</v>
      </c>
    </row>
    <row r="82" spans="1:18" x14ac:dyDescent="0.25">
      <c r="C82" s="169">
        <f t="shared" si="4"/>
        <v>5</v>
      </c>
      <c r="D82" s="214" t="s">
        <v>525</v>
      </c>
      <c r="E82" s="216" t="s">
        <v>686</v>
      </c>
      <c r="F82" s="214" t="s">
        <v>777</v>
      </c>
      <c r="G82" s="217" t="s">
        <v>349</v>
      </c>
      <c r="H82" s="217" t="s">
        <v>349</v>
      </c>
      <c r="I82" s="217" t="s">
        <v>349</v>
      </c>
      <c r="J82" s="245">
        <v>0.35</v>
      </c>
      <c r="K82" s="243">
        <v>0.4</v>
      </c>
      <c r="L82" s="312">
        <v>999</v>
      </c>
      <c r="M82" s="245">
        <v>0.35</v>
      </c>
      <c r="N82" s="243">
        <v>0.4</v>
      </c>
      <c r="O82" s="300">
        <v>999</v>
      </c>
      <c r="P82" s="245">
        <v>1.2</v>
      </c>
      <c r="Q82" s="296">
        <v>999</v>
      </c>
      <c r="R82" s="300">
        <v>999</v>
      </c>
    </row>
    <row r="83" spans="1:18" x14ac:dyDescent="0.25">
      <c r="C83" s="169">
        <f t="shared" si="4"/>
        <v>5</v>
      </c>
      <c r="D83" s="214" t="s">
        <v>525</v>
      </c>
      <c r="E83" s="218" t="s">
        <v>685</v>
      </c>
      <c r="F83" s="218" t="s">
        <v>687</v>
      </c>
      <c r="G83" s="215" t="s">
        <v>349</v>
      </c>
      <c r="H83" s="215" t="s">
        <v>349</v>
      </c>
      <c r="I83" s="215" t="s">
        <v>349</v>
      </c>
      <c r="J83" s="245">
        <v>0.45</v>
      </c>
      <c r="K83" s="243">
        <v>0.4</v>
      </c>
      <c r="L83" s="312">
        <v>999</v>
      </c>
      <c r="M83" s="245">
        <v>0.45</v>
      </c>
      <c r="N83" s="243">
        <v>0.4</v>
      </c>
      <c r="O83" s="300">
        <v>999</v>
      </c>
      <c r="P83" s="245">
        <v>1.2</v>
      </c>
      <c r="Q83" s="296">
        <v>999</v>
      </c>
      <c r="R83" s="300">
        <v>999</v>
      </c>
    </row>
    <row r="84" spans="1:18" x14ac:dyDescent="0.25">
      <c r="C84" s="169">
        <f t="shared" si="4"/>
        <v>5</v>
      </c>
      <c r="D84" s="214" t="s">
        <v>525</v>
      </c>
      <c r="E84" s="218" t="s">
        <v>685</v>
      </c>
      <c r="F84" s="216" t="s">
        <v>688</v>
      </c>
      <c r="G84" s="215" t="s">
        <v>349</v>
      </c>
      <c r="H84" s="215" t="s">
        <v>349</v>
      </c>
      <c r="I84" s="215" t="s">
        <v>349</v>
      </c>
      <c r="J84" s="245">
        <v>0.8</v>
      </c>
      <c r="K84" s="243">
        <v>0.4</v>
      </c>
      <c r="L84" s="312">
        <v>999</v>
      </c>
      <c r="M84" s="245">
        <v>0.8</v>
      </c>
      <c r="N84" s="243">
        <v>0.4</v>
      </c>
      <c r="O84" s="300">
        <v>999</v>
      </c>
      <c r="P84" s="245">
        <v>1.2</v>
      </c>
      <c r="Q84" s="296">
        <v>999</v>
      </c>
      <c r="R84" s="300">
        <v>999</v>
      </c>
    </row>
    <row r="85" spans="1:18" x14ac:dyDescent="0.25">
      <c r="C85" s="169">
        <f t="shared" si="4"/>
        <v>5</v>
      </c>
      <c r="D85" s="214" t="s">
        <v>525</v>
      </c>
      <c r="E85" s="218" t="s">
        <v>685</v>
      </c>
      <c r="F85" s="216" t="s">
        <v>777</v>
      </c>
      <c r="G85" s="215" t="s">
        <v>349</v>
      </c>
      <c r="H85" s="215" t="s">
        <v>349</v>
      </c>
      <c r="I85" s="215" t="s">
        <v>349</v>
      </c>
      <c r="J85" s="245">
        <v>0.55000000000000004</v>
      </c>
      <c r="K85" s="243">
        <v>0.4</v>
      </c>
      <c r="L85" s="312">
        <v>999</v>
      </c>
      <c r="M85" s="245">
        <v>0.55000000000000004</v>
      </c>
      <c r="N85" s="243">
        <v>0.4</v>
      </c>
      <c r="O85" s="300">
        <v>999</v>
      </c>
      <c r="P85" s="245">
        <v>1.2</v>
      </c>
      <c r="Q85" s="296">
        <v>999</v>
      </c>
      <c r="R85" s="300">
        <v>999</v>
      </c>
    </row>
    <row r="86" spans="1:18" x14ac:dyDescent="0.25">
      <c r="C86" s="169">
        <f t="shared" si="4"/>
        <v>5</v>
      </c>
      <c r="D86" s="216" t="s">
        <v>238</v>
      </c>
      <c r="E86" s="215" t="s">
        <v>349</v>
      </c>
      <c r="F86" s="215" t="s">
        <v>349</v>
      </c>
      <c r="G86" s="215" t="s">
        <v>470</v>
      </c>
      <c r="H86" s="219" t="s">
        <v>466</v>
      </c>
      <c r="I86" s="307" t="s">
        <v>576</v>
      </c>
      <c r="J86" s="245">
        <v>1.17</v>
      </c>
      <c r="K86" s="243">
        <v>0.49</v>
      </c>
      <c r="L86" s="312">
        <v>999</v>
      </c>
      <c r="M86" s="245">
        <v>1.17</v>
      </c>
      <c r="N86" s="243">
        <v>0.49</v>
      </c>
      <c r="O86" s="300">
        <v>999</v>
      </c>
      <c r="P86" s="245">
        <v>1.98</v>
      </c>
      <c r="Q86" s="296">
        <v>999</v>
      </c>
      <c r="R86" s="300">
        <v>999</v>
      </c>
    </row>
    <row r="87" spans="1:18" x14ac:dyDescent="0.25">
      <c r="C87" s="169">
        <f t="shared" si="4"/>
        <v>5</v>
      </c>
      <c r="D87" s="216" t="s">
        <v>238</v>
      </c>
      <c r="E87" s="215" t="s">
        <v>349</v>
      </c>
      <c r="F87" s="215" t="s">
        <v>349</v>
      </c>
      <c r="G87" s="215" t="s">
        <v>470</v>
      </c>
      <c r="H87" s="219" t="s">
        <v>466</v>
      </c>
      <c r="I87" s="307" t="s">
        <v>577</v>
      </c>
      <c r="J87" s="245">
        <v>1.17</v>
      </c>
      <c r="K87" s="243">
        <v>0.39</v>
      </c>
      <c r="L87" s="312">
        <v>999</v>
      </c>
      <c r="M87" s="245">
        <v>1.17</v>
      </c>
      <c r="N87" s="243">
        <v>0.39</v>
      </c>
      <c r="O87" s="300">
        <v>999</v>
      </c>
      <c r="P87" s="245">
        <v>1.98</v>
      </c>
      <c r="Q87" s="296">
        <v>999</v>
      </c>
      <c r="R87" s="300">
        <v>999</v>
      </c>
    </row>
    <row r="88" spans="1:18" x14ac:dyDescent="0.25">
      <c r="C88" s="169">
        <f t="shared" si="4"/>
        <v>5</v>
      </c>
      <c r="D88" s="216" t="s">
        <v>238</v>
      </c>
      <c r="E88" s="215" t="s">
        <v>349</v>
      </c>
      <c r="F88" s="215" t="s">
        <v>349</v>
      </c>
      <c r="G88" s="215" t="s">
        <v>470</v>
      </c>
      <c r="H88" s="219" t="s">
        <v>467</v>
      </c>
      <c r="I88" s="307" t="s">
        <v>576</v>
      </c>
      <c r="J88" s="245">
        <v>1.1000000000000001</v>
      </c>
      <c r="K88" s="243">
        <v>0.77</v>
      </c>
      <c r="L88" s="312">
        <v>999</v>
      </c>
      <c r="M88" s="245">
        <v>1.1000000000000001</v>
      </c>
      <c r="N88" s="243">
        <v>0.77</v>
      </c>
      <c r="O88" s="300">
        <v>999</v>
      </c>
      <c r="P88" s="245">
        <v>1.9</v>
      </c>
      <c r="Q88" s="296">
        <v>999</v>
      </c>
      <c r="R88" s="300">
        <v>999</v>
      </c>
    </row>
    <row r="89" spans="1:18" x14ac:dyDescent="0.25">
      <c r="A89" s="7"/>
      <c r="C89" s="169">
        <f t="shared" si="4"/>
        <v>5</v>
      </c>
      <c r="D89" s="216" t="s">
        <v>238</v>
      </c>
      <c r="E89" s="217" t="s">
        <v>349</v>
      </c>
      <c r="F89" s="217" t="s">
        <v>349</v>
      </c>
      <c r="G89" s="215" t="s">
        <v>470</v>
      </c>
      <c r="H89" s="219" t="s">
        <v>467</v>
      </c>
      <c r="I89" s="307" t="s">
        <v>577</v>
      </c>
      <c r="J89" s="245">
        <v>1.1000000000000001</v>
      </c>
      <c r="K89" s="243">
        <v>0.62</v>
      </c>
      <c r="L89" s="312">
        <v>999</v>
      </c>
      <c r="M89" s="245">
        <v>1.1000000000000001</v>
      </c>
      <c r="N89" s="243">
        <v>0.62</v>
      </c>
      <c r="O89" s="300">
        <v>999</v>
      </c>
      <c r="P89" s="245">
        <v>1.9</v>
      </c>
      <c r="Q89" s="296">
        <v>999</v>
      </c>
      <c r="R89" s="300">
        <v>999</v>
      </c>
    </row>
    <row r="90" spans="1:18" x14ac:dyDescent="0.25">
      <c r="A90" s="130"/>
      <c r="C90" s="169">
        <f t="shared" si="4"/>
        <v>5</v>
      </c>
      <c r="D90" s="216" t="s">
        <v>238</v>
      </c>
      <c r="E90" s="215" t="s">
        <v>349</v>
      </c>
      <c r="F90" s="215" t="s">
        <v>349</v>
      </c>
      <c r="G90" s="215" t="s">
        <v>471</v>
      </c>
      <c r="H90" s="220" t="s">
        <v>349</v>
      </c>
      <c r="I90" s="307" t="s">
        <v>576</v>
      </c>
      <c r="J90" s="245">
        <v>0.69</v>
      </c>
      <c r="K90" s="243">
        <v>0.49</v>
      </c>
      <c r="L90" s="312">
        <v>999</v>
      </c>
      <c r="M90" s="245">
        <v>0.69</v>
      </c>
      <c r="N90" s="243">
        <v>0.49</v>
      </c>
      <c r="O90" s="300">
        <v>999</v>
      </c>
      <c r="P90" s="245">
        <v>1.36</v>
      </c>
      <c r="Q90" s="296">
        <v>999</v>
      </c>
      <c r="R90" s="300">
        <v>999</v>
      </c>
    </row>
    <row r="91" spans="1:18" x14ac:dyDescent="0.25">
      <c r="A91" s="8"/>
      <c r="C91" s="165">
        <f t="shared" si="4"/>
        <v>5</v>
      </c>
      <c r="D91" s="225" t="s">
        <v>238</v>
      </c>
      <c r="E91" s="201" t="s">
        <v>349</v>
      </c>
      <c r="F91" s="201" t="s">
        <v>349</v>
      </c>
      <c r="G91" s="201" t="s">
        <v>471</v>
      </c>
      <c r="H91" s="226" t="s">
        <v>349</v>
      </c>
      <c r="I91" s="308" t="s">
        <v>577</v>
      </c>
      <c r="J91" s="246">
        <v>0.69</v>
      </c>
      <c r="K91" s="244">
        <v>0.39</v>
      </c>
      <c r="L91" s="313">
        <v>999</v>
      </c>
      <c r="M91" s="246">
        <v>0.69</v>
      </c>
      <c r="N91" s="244">
        <v>0.39</v>
      </c>
      <c r="O91" s="301">
        <v>999</v>
      </c>
      <c r="P91" s="246">
        <v>1.36</v>
      </c>
      <c r="Q91" s="297">
        <v>999</v>
      </c>
      <c r="R91" s="301">
        <v>999</v>
      </c>
    </row>
    <row r="92" spans="1:18" x14ac:dyDescent="0.25">
      <c r="C92" s="228">
        <v>6</v>
      </c>
      <c r="D92" s="230" t="s">
        <v>525</v>
      </c>
      <c r="E92" s="230" t="s">
        <v>682</v>
      </c>
      <c r="F92" s="230" t="s">
        <v>777</v>
      </c>
      <c r="G92" s="231" t="s">
        <v>349</v>
      </c>
      <c r="H92" s="231" t="s">
        <v>349</v>
      </c>
      <c r="I92" s="231" t="s">
        <v>349</v>
      </c>
      <c r="J92" s="247">
        <v>0.35</v>
      </c>
      <c r="K92" s="242">
        <v>0.4</v>
      </c>
      <c r="L92" s="314">
        <v>999</v>
      </c>
      <c r="M92" s="247">
        <v>0.35</v>
      </c>
      <c r="N92" s="242">
        <v>0.4</v>
      </c>
      <c r="O92" s="299">
        <v>999</v>
      </c>
      <c r="P92" s="247">
        <v>0.65</v>
      </c>
      <c r="Q92" s="298">
        <v>999</v>
      </c>
      <c r="R92" s="299">
        <v>999</v>
      </c>
    </row>
    <row r="93" spans="1:18" x14ac:dyDescent="0.25">
      <c r="C93" s="169">
        <f>C92</f>
        <v>6</v>
      </c>
      <c r="D93" s="214" t="s">
        <v>525</v>
      </c>
      <c r="E93" s="214" t="s">
        <v>683</v>
      </c>
      <c r="F93" s="214" t="s">
        <v>777</v>
      </c>
      <c r="G93" s="215" t="s">
        <v>349</v>
      </c>
      <c r="H93" s="215" t="s">
        <v>349</v>
      </c>
      <c r="I93" s="215" t="s">
        <v>349</v>
      </c>
      <c r="J93" s="245">
        <v>0.35</v>
      </c>
      <c r="K93" s="243">
        <v>0.4</v>
      </c>
      <c r="L93" s="312">
        <v>999</v>
      </c>
      <c r="M93" s="245">
        <v>0.35</v>
      </c>
      <c r="N93" s="243">
        <v>0.4</v>
      </c>
      <c r="O93" s="300">
        <v>999</v>
      </c>
      <c r="P93" s="245">
        <v>0.65</v>
      </c>
      <c r="Q93" s="296">
        <v>999</v>
      </c>
      <c r="R93" s="300">
        <v>999</v>
      </c>
    </row>
    <row r="94" spans="1:18" x14ac:dyDescent="0.25">
      <c r="C94" s="169">
        <f t="shared" ref="C94:C104" si="5">C93</f>
        <v>6</v>
      </c>
      <c r="D94" s="214" t="s">
        <v>525</v>
      </c>
      <c r="E94" s="214" t="s">
        <v>684</v>
      </c>
      <c r="F94" s="214" t="s">
        <v>777</v>
      </c>
      <c r="G94" s="215" t="s">
        <v>349</v>
      </c>
      <c r="H94" s="215" t="s">
        <v>349</v>
      </c>
      <c r="I94" s="215" t="s">
        <v>349</v>
      </c>
      <c r="J94" s="245">
        <v>0.35</v>
      </c>
      <c r="K94" s="243">
        <v>0.4</v>
      </c>
      <c r="L94" s="312">
        <v>999</v>
      </c>
      <c r="M94" s="245">
        <v>0.35</v>
      </c>
      <c r="N94" s="243">
        <v>0.4</v>
      </c>
      <c r="O94" s="300">
        <v>999</v>
      </c>
      <c r="P94" s="245">
        <v>0.65</v>
      </c>
      <c r="Q94" s="296">
        <v>999</v>
      </c>
      <c r="R94" s="300">
        <v>999</v>
      </c>
    </row>
    <row r="95" spans="1:18" x14ac:dyDescent="0.25">
      <c r="C95" s="169">
        <f t="shared" si="5"/>
        <v>6</v>
      </c>
      <c r="D95" s="214" t="s">
        <v>525</v>
      </c>
      <c r="E95" s="216" t="s">
        <v>686</v>
      </c>
      <c r="F95" s="214" t="s">
        <v>777</v>
      </c>
      <c r="G95" s="217" t="s">
        <v>349</v>
      </c>
      <c r="H95" s="217" t="s">
        <v>349</v>
      </c>
      <c r="I95" s="217" t="s">
        <v>349</v>
      </c>
      <c r="J95" s="245">
        <v>0.35</v>
      </c>
      <c r="K95" s="243">
        <v>0.4</v>
      </c>
      <c r="L95" s="312">
        <v>999</v>
      </c>
      <c r="M95" s="245">
        <v>0.35</v>
      </c>
      <c r="N95" s="243">
        <v>0.4</v>
      </c>
      <c r="O95" s="300">
        <v>999</v>
      </c>
      <c r="P95" s="245">
        <v>0.65</v>
      </c>
      <c r="Q95" s="296">
        <v>999</v>
      </c>
      <c r="R95" s="300">
        <v>999</v>
      </c>
    </row>
    <row r="96" spans="1:18" x14ac:dyDescent="0.25">
      <c r="C96" s="169">
        <f t="shared" si="5"/>
        <v>6</v>
      </c>
      <c r="D96" s="214" t="s">
        <v>525</v>
      </c>
      <c r="E96" s="218" t="s">
        <v>685</v>
      </c>
      <c r="F96" s="218" t="s">
        <v>687</v>
      </c>
      <c r="G96" s="215" t="s">
        <v>349</v>
      </c>
      <c r="H96" s="215" t="s">
        <v>349</v>
      </c>
      <c r="I96" s="215" t="s">
        <v>349</v>
      </c>
      <c r="J96" s="245">
        <v>0.45</v>
      </c>
      <c r="K96" s="243">
        <v>0.4</v>
      </c>
      <c r="L96" s="312">
        <v>999</v>
      </c>
      <c r="M96" s="245">
        <v>0.45</v>
      </c>
      <c r="N96" s="243">
        <v>0.4</v>
      </c>
      <c r="O96" s="300">
        <v>999</v>
      </c>
      <c r="P96" s="245">
        <v>0.6</v>
      </c>
      <c r="Q96" s="296">
        <v>999</v>
      </c>
      <c r="R96" s="300">
        <v>999</v>
      </c>
    </row>
    <row r="97" spans="1:18" x14ac:dyDescent="0.25">
      <c r="C97" s="169">
        <f t="shared" si="5"/>
        <v>6</v>
      </c>
      <c r="D97" s="214" t="s">
        <v>525</v>
      </c>
      <c r="E97" s="218" t="s">
        <v>685</v>
      </c>
      <c r="F97" s="216" t="s">
        <v>688</v>
      </c>
      <c r="G97" s="215" t="s">
        <v>349</v>
      </c>
      <c r="H97" s="215" t="s">
        <v>349</v>
      </c>
      <c r="I97" s="215" t="s">
        <v>349</v>
      </c>
      <c r="J97" s="245">
        <v>0.8</v>
      </c>
      <c r="K97" s="243">
        <v>0.4</v>
      </c>
      <c r="L97" s="312">
        <v>999</v>
      </c>
      <c r="M97" s="245">
        <v>0.8</v>
      </c>
      <c r="N97" s="243">
        <v>0.4</v>
      </c>
      <c r="O97" s="300">
        <v>999</v>
      </c>
      <c r="P97" s="245">
        <v>0.9</v>
      </c>
      <c r="Q97" s="296">
        <v>999</v>
      </c>
      <c r="R97" s="300">
        <v>999</v>
      </c>
    </row>
    <row r="98" spans="1:18" x14ac:dyDescent="0.25">
      <c r="C98" s="169">
        <f t="shared" si="5"/>
        <v>6</v>
      </c>
      <c r="D98" s="214" t="s">
        <v>525</v>
      </c>
      <c r="E98" s="218" t="s">
        <v>685</v>
      </c>
      <c r="F98" s="216" t="s">
        <v>777</v>
      </c>
      <c r="G98" s="215" t="s">
        <v>349</v>
      </c>
      <c r="H98" s="215" t="s">
        <v>349</v>
      </c>
      <c r="I98" s="215" t="s">
        <v>349</v>
      </c>
      <c r="J98" s="245">
        <v>0.55000000000000004</v>
      </c>
      <c r="K98" s="243">
        <v>0.4</v>
      </c>
      <c r="L98" s="312">
        <v>999</v>
      </c>
      <c r="M98" s="245">
        <v>0.55000000000000004</v>
      </c>
      <c r="N98" s="243">
        <v>0.4</v>
      </c>
      <c r="O98" s="300">
        <v>999</v>
      </c>
      <c r="P98" s="245">
        <v>0.65</v>
      </c>
      <c r="Q98" s="296">
        <v>999</v>
      </c>
      <c r="R98" s="300">
        <v>999</v>
      </c>
    </row>
    <row r="99" spans="1:18" x14ac:dyDescent="0.25">
      <c r="C99" s="169">
        <f t="shared" si="5"/>
        <v>6</v>
      </c>
      <c r="D99" s="216" t="s">
        <v>238</v>
      </c>
      <c r="E99" s="215" t="s">
        <v>349</v>
      </c>
      <c r="F99" s="215" t="s">
        <v>349</v>
      </c>
      <c r="G99" s="215" t="s">
        <v>470</v>
      </c>
      <c r="H99" s="219" t="s">
        <v>466</v>
      </c>
      <c r="I99" s="307" t="s">
        <v>576</v>
      </c>
      <c r="J99" s="245">
        <v>1.17</v>
      </c>
      <c r="K99" s="243">
        <v>0.49</v>
      </c>
      <c r="L99" s="312">
        <v>999</v>
      </c>
      <c r="M99" s="245">
        <v>0.98</v>
      </c>
      <c r="N99" s="243">
        <v>0.46</v>
      </c>
      <c r="O99" s="300">
        <v>999</v>
      </c>
      <c r="P99" s="245">
        <v>1.98</v>
      </c>
      <c r="Q99" s="296">
        <v>999</v>
      </c>
      <c r="R99" s="300">
        <v>999</v>
      </c>
    </row>
    <row r="100" spans="1:18" x14ac:dyDescent="0.25">
      <c r="C100" s="169">
        <f t="shared" si="5"/>
        <v>6</v>
      </c>
      <c r="D100" s="216" t="s">
        <v>238</v>
      </c>
      <c r="E100" s="215" t="s">
        <v>349</v>
      </c>
      <c r="F100" s="215" t="s">
        <v>349</v>
      </c>
      <c r="G100" s="215" t="s">
        <v>470</v>
      </c>
      <c r="H100" s="219" t="s">
        <v>466</v>
      </c>
      <c r="I100" s="307" t="s">
        <v>577</v>
      </c>
      <c r="J100" s="245">
        <v>1.17</v>
      </c>
      <c r="K100" s="243">
        <v>0.49</v>
      </c>
      <c r="L100" s="312">
        <v>999</v>
      </c>
      <c r="M100" s="245">
        <v>0.98</v>
      </c>
      <c r="N100" s="243">
        <v>0.36</v>
      </c>
      <c r="O100" s="300">
        <v>999</v>
      </c>
      <c r="P100" s="245">
        <v>1.98</v>
      </c>
      <c r="Q100" s="296">
        <v>999</v>
      </c>
      <c r="R100" s="300">
        <v>999</v>
      </c>
    </row>
    <row r="101" spans="1:18" x14ac:dyDescent="0.25">
      <c r="C101" s="169">
        <f t="shared" si="5"/>
        <v>6</v>
      </c>
      <c r="D101" s="216" t="s">
        <v>238</v>
      </c>
      <c r="E101" s="215" t="s">
        <v>349</v>
      </c>
      <c r="F101" s="215" t="s">
        <v>349</v>
      </c>
      <c r="G101" s="215" t="s">
        <v>470</v>
      </c>
      <c r="H101" s="219" t="s">
        <v>467</v>
      </c>
      <c r="I101" s="307" t="s">
        <v>576</v>
      </c>
      <c r="J101" s="245">
        <v>0.87</v>
      </c>
      <c r="K101" s="243">
        <v>0.71</v>
      </c>
      <c r="L101" s="312">
        <v>999</v>
      </c>
      <c r="M101" s="245">
        <v>0.74</v>
      </c>
      <c r="N101" s="243">
        <v>0.65</v>
      </c>
      <c r="O101" s="300">
        <v>999</v>
      </c>
      <c r="P101" s="245">
        <v>1.9</v>
      </c>
      <c r="Q101" s="296">
        <v>999</v>
      </c>
      <c r="R101" s="300">
        <v>999</v>
      </c>
    </row>
    <row r="102" spans="1:18" x14ac:dyDescent="0.25">
      <c r="A102" s="7"/>
      <c r="C102" s="169">
        <f t="shared" si="5"/>
        <v>6</v>
      </c>
      <c r="D102" s="216" t="s">
        <v>238</v>
      </c>
      <c r="E102" s="217" t="s">
        <v>349</v>
      </c>
      <c r="F102" s="217" t="s">
        <v>349</v>
      </c>
      <c r="G102" s="215" t="s">
        <v>470</v>
      </c>
      <c r="H102" s="219" t="s">
        <v>467</v>
      </c>
      <c r="I102" s="307" t="s">
        <v>577</v>
      </c>
      <c r="J102" s="245">
        <v>0.87</v>
      </c>
      <c r="K102" s="243">
        <v>0.57999999999999996</v>
      </c>
      <c r="L102" s="312">
        <v>999</v>
      </c>
      <c r="M102" s="245">
        <v>0.74</v>
      </c>
      <c r="N102" s="243">
        <v>0.55000000000000004</v>
      </c>
      <c r="O102" s="300">
        <v>999</v>
      </c>
      <c r="P102" s="245">
        <v>1.9</v>
      </c>
      <c r="Q102" s="296">
        <v>999</v>
      </c>
      <c r="R102" s="300">
        <v>999</v>
      </c>
    </row>
    <row r="103" spans="1:18" x14ac:dyDescent="0.25">
      <c r="A103" s="130"/>
      <c r="C103" s="169">
        <f t="shared" si="5"/>
        <v>6</v>
      </c>
      <c r="D103" s="216" t="s">
        <v>238</v>
      </c>
      <c r="E103" s="215" t="s">
        <v>349</v>
      </c>
      <c r="F103" s="215" t="s">
        <v>349</v>
      </c>
      <c r="G103" s="215" t="s">
        <v>471</v>
      </c>
      <c r="H103" s="220" t="s">
        <v>349</v>
      </c>
      <c r="I103" s="307" t="s">
        <v>576</v>
      </c>
      <c r="J103" s="245">
        <v>0.69</v>
      </c>
      <c r="K103" s="243">
        <v>0.49</v>
      </c>
      <c r="L103" s="312">
        <v>999</v>
      </c>
      <c r="M103" s="245">
        <v>0.57999999999999996</v>
      </c>
      <c r="N103" s="243">
        <v>0.49</v>
      </c>
      <c r="O103" s="300">
        <v>999</v>
      </c>
      <c r="P103" s="245">
        <v>1.36</v>
      </c>
      <c r="Q103" s="296">
        <v>999</v>
      </c>
      <c r="R103" s="300">
        <v>999</v>
      </c>
    </row>
    <row r="104" spans="1:18" x14ac:dyDescent="0.25">
      <c r="A104" s="8"/>
      <c r="C104" s="165">
        <f t="shared" si="5"/>
        <v>6</v>
      </c>
      <c r="D104" s="225" t="s">
        <v>238</v>
      </c>
      <c r="E104" s="201" t="s">
        <v>349</v>
      </c>
      <c r="F104" s="201" t="s">
        <v>349</v>
      </c>
      <c r="G104" s="201" t="s">
        <v>471</v>
      </c>
      <c r="H104" s="226" t="s">
        <v>349</v>
      </c>
      <c r="I104" s="308" t="s">
        <v>577</v>
      </c>
      <c r="J104" s="246">
        <v>0.69</v>
      </c>
      <c r="K104" s="244">
        <v>0.49</v>
      </c>
      <c r="L104" s="313">
        <v>999</v>
      </c>
      <c r="M104" s="246">
        <v>0.57999999999999996</v>
      </c>
      <c r="N104" s="244">
        <v>0.39</v>
      </c>
      <c r="O104" s="301">
        <v>999</v>
      </c>
      <c r="P104" s="246">
        <v>1.36</v>
      </c>
      <c r="Q104" s="297">
        <v>999</v>
      </c>
      <c r="R104" s="301">
        <v>999</v>
      </c>
    </row>
    <row r="105" spans="1:18" x14ac:dyDescent="0.25">
      <c r="C105" s="228">
        <v>7</v>
      </c>
      <c r="D105" s="230" t="s">
        <v>525</v>
      </c>
      <c r="E105" s="230" t="s">
        <v>682</v>
      </c>
      <c r="F105" s="230" t="s">
        <v>777</v>
      </c>
      <c r="G105" s="231" t="s">
        <v>349</v>
      </c>
      <c r="H105" s="231" t="s">
        <v>349</v>
      </c>
      <c r="I105" s="231" t="s">
        <v>349</v>
      </c>
      <c r="J105" s="247">
        <v>0.35</v>
      </c>
      <c r="K105" s="242">
        <v>0.45</v>
      </c>
      <c r="L105" s="314">
        <v>999</v>
      </c>
      <c r="M105" s="247">
        <v>0.35</v>
      </c>
      <c r="N105" s="298">
        <v>999</v>
      </c>
      <c r="O105" s="299">
        <v>999</v>
      </c>
      <c r="P105" s="247">
        <v>0.65</v>
      </c>
      <c r="Q105" s="298">
        <v>999</v>
      </c>
      <c r="R105" s="299">
        <v>999</v>
      </c>
    </row>
    <row r="106" spans="1:18" x14ac:dyDescent="0.25">
      <c r="C106" s="169">
        <f>C105</f>
        <v>7</v>
      </c>
      <c r="D106" s="214" t="s">
        <v>525</v>
      </c>
      <c r="E106" s="214" t="s">
        <v>683</v>
      </c>
      <c r="F106" s="214" t="s">
        <v>777</v>
      </c>
      <c r="G106" s="215" t="s">
        <v>349</v>
      </c>
      <c r="H106" s="215" t="s">
        <v>349</v>
      </c>
      <c r="I106" s="215" t="s">
        <v>349</v>
      </c>
      <c r="J106" s="245">
        <v>0.35</v>
      </c>
      <c r="K106" s="243">
        <v>0.45</v>
      </c>
      <c r="L106" s="312">
        <v>999</v>
      </c>
      <c r="M106" s="245">
        <v>0.35</v>
      </c>
      <c r="N106" s="296">
        <v>999</v>
      </c>
      <c r="O106" s="300">
        <v>999</v>
      </c>
      <c r="P106" s="245">
        <v>0.65</v>
      </c>
      <c r="Q106" s="296">
        <v>999</v>
      </c>
      <c r="R106" s="300">
        <v>999</v>
      </c>
    </row>
    <row r="107" spans="1:18" x14ac:dyDescent="0.25">
      <c r="C107" s="169">
        <f t="shared" ref="C107:C117" si="6">C106</f>
        <v>7</v>
      </c>
      <c r="D107" s="214" t="s">
        <v>525</v>
      </c>
      <c r="E107" s="214" t="s">
        <v>684</v>
      </c>
      <c r="F107" s="214" t="s">
        <v>777</v>
      </c>
      <c r="G107" s="215" t="s">
        <v>349</v>
      </c>
      <c r="H107" s="215" t="s">
        <v>349</v>
      </c>
      <c r="I107" s="215" t="s">
        <v>349</v>
      </c>
      <c r="J107" s="245">
        <v>0.35</v>
      </c>
      <c r="K107" s="243">
        <v>0.45</v>
      </c>
      <c r="L107" s="312">
        <v>999</v>
      </c>
      <c r="M107" s="245">
        <v>0.35</v>
      </c>
      <c r="N107" s="296">
        <v>999</v>
      </c>
      <c r="O107" s="300">
        <v>999</v>
      </c>
      <c r="P107" s="245">
        <v>0.65</v>
      </c>
      <c r="Q107" s="296">
        <v>999</v>
      </c>
      <c r="R107" s="300">
        <v>999</v>
      </c>
    </row>
    <row r="108" spans="1:18" x14ac:dyDescent="0.25">
      <c r="C108" s="169">
        <f t="shared" si="6"/>
        <v>7</v>
      </c>
      <c r="D108" s="214" t="s">
        <v>525</v>
      </c>
      <c r="E108" s="216" t="s">
        <v>686</v>
      </c>
      <c r="F108" s="214" t="s">
        <v>777</v>
      </c>
      <c r="G108" s="217" t="s">
        <v>349</v>
      </c>
      <c r="H108" s="217" t="s">
        <v>349</v>
      </c>
      <c r="I108" s="217" t="s">
        <v>349</v>
      </c>
      <c r="J108" s="245">
        <v>0.35</v>
      </c>
      <c r="K108" s="243">
        <v>0.45</v>
      </c>
      <c r="L108" s="312">
        <v>999</v>
      </c>
      <c r="M108" s="245">
        <v>0.35</v>
      </c>
      <c r="N108" s="296">
        <v>999</v>
      </c>
      <c r="O108" s="300">
        <v>999</v>
      </c>
      <c r="P108" s="245">
        <v>0.65</v>
      </c>
      <c r="Q108" s="296">
        <v>999</v>
      </c>
      <c r="R108" s="300">
        <v>999</v>
      </c>
    </row>
    <row r="109" spans="1:18" x14ac:dyDescent="0.25">
      <c r="C109" s="169">
        <f t="shared" si="6"/>
        <v>7</v>
      </c>
      <c r="D109" s="214" t="s">
        <v>525</v>
      </c>
      <c r="E109" s="218" t="s">
        <v>685</v>
      </c>
      <c r="F109" s="218" t="s">
        <v>687</v>
      </c>
      <c r="G109" s="215" t="s">
        <v>349</v>
      </c>
      <c r="H109" s="215" t="s">
        <v>349</v>
      </c>
      <c r="I109" s="215" t="s">
        <v>349</v>
      </c>
      <c r="J109" s="245">
        <v>0.4</v>
      </c>
      <c r="K109" s="243">
        <v>0.45</v>
      </c>
      <c r="L109" s="312">
        <v>999</v>
      </c>
      <c r="M109" s="245">
        <v>0.4</v>
      </c>
      <c r="N109" s="296">
        <v>999</v>
      </c>
      <c r="O109" s="300">
        <v>999</v>
      </c>
      <c r="P109" s="245">
        <v>0.6</v>
      </c>
      <c r="Q109" s="296">
        <v>999</v>
      </c>
      <c r="R109" s="300">
        <v>999</v>
      </c>
    </row>
    <row r="110" spans="1:18" x14ac:dyDescent="0.25">
      <c r="C110" s="169">
        <f t="shared" si="6"/>
        <v>7</v>
      </c>
      <c r="D110" s="214" t="s">
        <v>525</v>
      </c>
      <c r="E110" s="218" t="s">
        <v>685</v>
      </c>
      <c r="F110" s="216" t="s">
        <v>688</v>
      </c>
      <c r="G110" s="215" t="s">
        <v>349</v>
      </c>
      <c r="H110" s="215" t="s">
        <v>349</v>
      </c>
      <c r="I110" s="215" t="s">
        <v>349</v>
      </c>
      <c r="J110" s="245">
        <v>0.8</v>
      </c>
      <c r="K110" s="243">
        <v>0.45</v>
      </c>
      <c r="L110" s="312">
        <v>999</v>
      </c>
      <c r="M110" s="245">
        <v>0.8</v>
      </c>
      <c r="N110" s="296">
        <v>999</v>
      </c>
      <c r="O110" s="300">
        <v>999</v>
      </c>
      <c r="P110" s="245">
        <v>0.9</v>
      </c>
      <c r="Q110" s="296">
        <v>999</v>
      </c>
      <c r="R110" s="300">
        <v>999</v>
      </c>
    </row>
    <row r="111" spans="1:18" x14ac:dyDescent="0.25">
      <c r="C111" s="169">
        <f t="shared" si="6"/>
        <v>7</v>
      </c>
      <c r="D111" s="214" t="s">
        <v>525</v>
      </c>
      <c r="E111" s="218" t="s">
        <v>685</v>
      </c>
      <c r="F111" s="216" t="s">
        <v>777</v>
      </c>
      <c r="G111" s="215" t="s">
        <v>349</v>
      </c>
      <c r="H111" s="215" t="s">
        <v>349</v>
      </c>
      <c r="I111" s="215" t="s">
        <v>349</v>
      </c>
      <c r="J111" s="245">
        <v>0.45</v>
      </c>
      <c r="K111" s="243">
        <v>0.45</v>
      </c>
      <c r="L111" s="312">
        <v>999</v>
      </c>
      <c r="M111" s="245">
        <v>0.45</v>
      </c>
      <c r="N111" s="296">
        <v>999</v>
      </c>
      <c r="O111" s="300">
        <v>999</v>
      </c>
      <c r="P111" s="245">
        <v>0.65</v>
      </c>
      <c r="Q111" s="296">
        <v>999</v>
      </c>
      <c r="R111" s="300">
        <v>999</v>
      </c>
    </row>
    <row r="112" spans="1:18" x14ac:dyDescent="0.25">
      <c r="C112" s="169">
        <f t="shared" si="6"/>
        <v>7</v>
      </c>
      <c r="D112" s="216" t="s">
        <v>238</v>
      </c>
      <c r="E112" s="215" t="s">
        <v>349</v>
      </c>
      <c r="F112" s="215" t="s">
        <v>349</v>
      </c>
      <c r="G112" s="215" t="s">
        <v>470</v>
      </c>
      <c r="H112" s="219" t="s">
        <v>466</v>
      </c>
      <c r="I112" s="307" t="s">
        <v>576</v>
      </c>
      <c r="J112" s="245">
        <v>1.17</v>
      </c>
      <c r="K112" s="243">
        <v>0.68</v>
      </c>
      <c r="L112" s="312">
        <v>999</v>
      </c>
      <c r="M112" s="245">
        <v>1.17</v>
      </c>
      <c r="N112" s="243">
        <v>0.64</v>
      </c>
      <c r="O112" s="300">
        <v>999</v>
      </c>
      <c r="P112" s="245">
        <v>1.98</v>
      </c>
      <c r="Q112" s="296">
        <v>999</v>
      </c>
      <c r="R112" s="300">
        <v>999</v>
      </c>
    </row>
    <row r="113" spans="1:18" x14ac:dyDescent="0.25">
      <c r="C113" s="169">
        <f t="shared" si="6"/>
        <v>7</v>
      </c>
      <c r="D113" s="216" t="s">
        <v>238</v>
      </c>
      <c r="E113" s="215" t="s">
        <v>349</v>
      </c>
      <c r="F113" s="215" t="s">
        <v>349</v>
      </c>
      <c r="G113" s="215" t="s">
        <v>470</v>
      </c>
      <c r="H113" s="219" t="s">
        <v>466</v>
      </c>
      <c r="I113" s="307" t="s">
        <v>577</v>
      </c>
      <c r="J113" s="245">
        <v>1.17</v>
      </c>
      <c r="K113" s="243">
        <v>0.64</v>
      </c>
      <c r="L113" s="312">
        <v>999</v>
      </c>
      <c r="M113" s="245">
        <v>1.17</v>
      </c>
      <c r="N113" s="243">
        <v>0.64</v>
      </c>
      <c r="O113" s="300">
        <v>999</v>
      </c>
      <c r="P113" s="245">
        <v>1.98</v>
      </c>
      <c r="Q113" s="296">
        <v>999</v>
      </c>
      <c r="R113" s="300">
        <v>999</v>
      </c>
    </row>
    <row r="114" spans="1:18" x14ac:dyDescent="0.25">
      <c r="C114" s="169">
        <f t="shared" si="6"/>
        <v>7</v>
      </c>
      <c r="D114" s="216" t="s">
        <v>238</v>
      </c>
      <c r="E114" s="215" t="s">
        <v>349</v>
      </c>
      <c r="F114" s="215" t="s">
        <v>349</v>
      </c>
      <c r="G114" s="215" t="s">
        <v>470</v>
      </c>
      <c r="H114" s="219" t="s">
        <v>467</v>
      </c>
      <c r="I114" s="307" t="s">
        <v>576</v>
      </c>
      <c r="J114" s="245">
        <v>0.87</v>
      </c>
      <c r="K114" s="243">
        <v>0.77</v>
      </c>
      <c r="L114" s="312">
        <v>999</v>
      </c>
      <c r="M114" s="245">
        <v>0.61</v>
      </c>
      <c r="N114" s="243">
        <v>0.77</v>
      </c>
      <c r="O114" s="300">
        <v>999</v>
      </c>
      <c r="P114" s="245">
        <v>1.9</v>
      </c>
      <c r="Q114" s="296">
        <v>999</v>
      </c>
      <c r="R114" s="300">
        <v>999</v>
      </c>
    </row>
    <row r="115" spans="1:18" x14ac:dyDescent="0.25">
      <c r="A115" s="7"/>
      <c r="C115" s="169">
        <f t="shared" si="6"/>
        <v>7</v>
      </c>
      <c r="D115" s="216" t="s">
        <v>238</v>
      </c>
      <c r="E115" s="217" t="s">
        <v>349</v>
      </c>
      <c r="F115" s="217" t="s">
        <v>349</v>
      </c>
      <c r="G115" s="215" t="s">
        <v>470</v>
      </c>
      <c r="H115" s="219" t="s">
        <v>467</v>
      </c>
      <c r="I115" s="307" t="s">
        <v>577</v>
      </c>
      <c r="J115" s="245">
        <v>0.87</v>
      </c>
      <c r="K115" s="243">
        <v>0.71</v>
      </c>
      <c r="L115" s="312">
        <v>999</v>
      </c>
      <c r="M115" s="245">
        <v>0.61</v>
      </c>
      <c r="N115" s="243">
        <v>0.77</v>
      </c>
      <c r="O115" s="300">
        <v>999</v>
      </c>
      <c r="P115" s="245">
        <v>1.9</v>
      </c>
      <c r="Q115" s="296">
        <v>999</v>
      </c>
      <c r="R115" s="300">
        <v>999</v>
      </c>
    </row>
    <row r="116" spans="1:18" x14ac:dyDescent="0.25">
      <c r="A116" s="130"/>
      <c r="C116" s="169">
        <f t="shared" si="6"/>
        <v>7</v>
      </c>
      <c r="D116" s="216" t="s">
        <v>238</v>
      </c>
      <c r="E116" s="215" t="s">
        <v>349</v>
      </c>
      <c r="F116" s="215" t="s">
        <v>349</v>
      </c>
      <c r="G116" s="215" t="s">
        <v>471</v>
      </c>
      <c r="H116" s="220" t="s">
        <v>349</v>
      </c>
      <c r="I116" s="307" t="s">
        <v>576</v>
      </c>
      <c r="J116" s="245">
        <v>0.69</v>
      </c>
      <c r="K116" s="243">
        <v>0.68</v>
      </c>
      <c r="L116" s="312">
        <v>999</v>
      </c>
      <c r="M116" s="245">
        <v>0.69</v>
      </c>
      <c r="N116" s="243">
        <v>0.64</v>
      </c>
      <c r="O116" s="300">
        <v>999</v>
      </c>
      <c r="P116" s="245">
        <v>1.36</v>
      </c>
      <c r="Q116" s="296">
        <v>999</v>
      </c>
      <c r="R116" s="300">
        <v>999</v>
      </c>
    </row>
    <row r="117" spans="1:18" x14ac:dyDescent="0.25">
      <c r="A117" s="8"/>
      <c r="C117" s="165">
        <f t="shared" si="6"/>
        <v>7</v>
      </c>
      <c r="D117" s="225" t="s">
        <v>238</v>
      </c>
      <c r="E117" s="201" t="s">
        <v>349</v>
      </c>
      <c r="F117" s="201" t="s">
        <v>349</v>
      </c>
      <c r="G117" s="201" t="s">
        <v>471</v>
      </c>
      <c r="H117" s="226" t="s">
        <v>349</v>
      </c>
      <c r="I117" s="308" t="s">
        <v>577</v>
      </c>
      <c r="J117" s="246">
        <v>0.69</v>
      </c>
      <c r="K117" s="244">
        <v>0.64</v>
      </c>
      <c r="L117" s="313">
        <v>999</v>
      </c>
      <c r="M117" s="246">
        <v>0.69</v>
      </c>
      <c r="N117" s="244">
        <v>0.64</v>
      </c>
      <c r="O117" s="301">
        <v>999</v>
      </c>
      <c r="P117" s="246">
        <v>1.36</v>
      </c>
      <c r="Q117" s="297">
        <v>999</v>
      </c>
      <c r="R117" s="301">
        <v>999</v>
      </c>
    </row>
    <row r="118" spans="1:18" x14ac:dyDescent="0.25">
      <c r="C118" s="228">
        <v>8</v>
      </c>
      <c r="D118" s="230" t="s">
        <v>525</v>
      </c>
      <c r="E118" s="230" t="s">
        <v>682</v>
      </c>
      <c r="F118" s="230" t="s">
        <v>777</v>
      </c>
      <c r="G118" s="231" t="s">
        <v>349</v>
      </c>
      <c r="H118" s="231" t="s">
        <v>349</v>
      </c>
      <c r="I118" s="231" t="s">
        <v>349</v>
      </c>
      <c r="J118" s="247">
        <v>0.35</v>
      </c>
      <c r="K118" s="242">
        <v>0.45</v>
      </c>
      <c r="L118" s="314">
        <v>999</v>
      </c>
      <c r="M118" s="247">
        <v>0.35</v>
      </c>
      <c r="N118" s="298">
        <v>999</v>
      </c>
      <c r="O118" s="299">
        <v>999</v>
      </c>
      <c r="P118" s="247">
        <v>0.65</v>
      </c>
      <c r="Q118" s="298">
        <v>999</v>
      </c>
      <c r="R118" s="299">
        <v>999</v>
      </c>
    </row>
    <row r="119" spans="1:18" x14ac:dyDescent="0.25">
      <c r="C119" s="169">
        <f>C118</f>
        <v>8</v>
      </c>
      <c r="D119" s="214" t="s">
        <v>525</v>
      </c>
      <c r="E119" s="214" t="s">
        <v>683</v>
      </c>
      <c r="F119" s="214" t="s">
        <v>777</v>
      </c>
      <c r="G119" s="215" t="s">
        <v>349</v>
      </c>
      <c r="H119" s="215" t="s">
        <v>349</v>
      </c>
      <c r="I119" s="215" t="s">
        <v>349</v>
      </c>
      <c r="J119" s="245">
        <v>0.35</v>
      </c>
      <c r="K119" s="243">
        <v>0.45</v>
      </c>
      <c r="L119" s="312">
        <v>999</v>
      </c>
      <c r="M119" s="245">
        <v>0.35</v>
      </c>
      <c r="N119" s="296">
        <v>999</v>
      </c>
      <c r="O119" s="300">
        <v>999</v>
      </c>
      <c r="P119" s="245">
        <v>0.65</v>
      </c>
      <c r="Q119" s="296">
        <v>999</v>
      </c>
      <c r="R119" s="300">
        <v>999</v>
      </c>
    </row>
    <row r="120" spans="1:18" x14ac:dyDescent="0.25">
      <c r="C120" s="169">
        <f t="shared" ref="C120:C129" si="7">C119</f>
        <v>8</v>
      </c>
      <c r="D120" s="214" t="s">
        <v>525</v>
      </c>
      <c r="E120" s="214" t="s">
        <v>684</v>
      </c>
      <c r="F120" s="214" t="s">
        <v>777</v>
      </c>
      <c r="G120" s="215" t="s">
        <v>349</v>
      </c>
      <c r="H120" s="215" t="s">
        <v>349</v>
      </c>
      <c r="I120" s="215" t="s">
        <v>349</v>
      </c>
      <c r="J120" s="245">
        <v>0.35</v>
      </c>
      <c r="K120" s="243">
        <v>0.45</v>
      </c>
      <c r="L120" s="312">
        <v>999</v>
      </c>
      <c r="M120" s="245">
        <v>0.35</v>
      </c>
      <c r="N120" s="296">
        <v>999</v>
      </c>
      <c r="O120" s="300">
        <v>999</v>
      </c>
      <c r="P120" s="245">
        <v>0.65</v>
      </c>
      <c r="Q120" s="296">
        <v>999</v>
      </c>
      <c r="R120" s="300">
        <v>999</v>
      </c>
    </row>
    <row r="121" spans="1:18" x14ac:dyDescent="0.25">
      <c r="C121" s="169">
        <f t="shared" si="7"/>
        <v>8</v>
      </c>
      <c r="D121" s="214" t="s">
        <v>525</v>
      </c>
      <c r="E121" s="216" t="s">
        <v>686</v>
      </c>
      <c r="F121" s="214" t="s">
        <v>777</v>
      </c>
      <c r="G121" s="217" t="s">
        <v>349</v>
      </c>
      <c r="H121" s="217" t="s">
        <v>349</v>
      </c>
      <c r="I121" s="217" t="s">
        <v>349</v>
      </c>
      <c r="J121" s="245">
        <v>0.35</v>
      </c>
      <c r="K121" s="243">
        <v>0.45</v>
      </c>
      <c r="L121" s="312">
        <v>999</v>
      </c>
      <c r="M121" s="245">
        <v>0.35</v>
      </c>
      <c r="N121" s="296">
        <v>999</v>
      </c>
      <c r="O121" s="300">
        <v>999</v>
      </c>
      <c r="P121" s="245">
        <v>0.65</v>
      </c>
      <c r="Q121" s="296">
        <v>999</v>
      </c>
      <c r="R121" s="300">
        <v>999</v>
      </c>
    </row>
    <row r="122" spans="1:18" x14ac:dyDescent="0.25">
      <c r="C122" s="169">
        <f t="shared" si="7"/>
        <v>8</v>
      </c>
      <c r="D122" s="214" t="s">
        <v>525</v>
      </c>
      <c r="E122" s="218" t="s">
        <v>685</v>
      </c>
      <c r="F122" s="218" t="s">
        <v>687</v>
      </c>
      <c r="G122" s="215" t="s">
        <v>349</v>
      </c>
      <c r="H122" s="215" t="s">
        <v>349</v>
      </c>
      <c r="I122" s="215" t="s">
        <v>349</v>
      </c>
      <c r="J122" s="245">
        <v>0.4</v>
      </c>
      <c r="K122" s="243">
        <v>0.45</v>
      </c>
      <c r="L122" s="312">
        <v>999</v>
      </c>
      <c r="M122" s="245">
        <v>0.4</v>
      </c>
      <c r="N122" s="296">
        <v>999</v>
      </c>
      <c r="O122" s="300">
        <v>999</v>
      </c>
      <c r="P122" s="245">
        <v>0.6</v>
      </c>
      <c r="Q122" s="296">
        <v>999</v>
      </c>
      <c r="R122" s="300">
        <v>999</v>
      </c>
    </row>
    <row r="123" spans="1:18" x14ac:dyDescent="0.25">
      <c r="C123" s="169">
        <f t="shared" si="7"/>
        <v>8</v>
      </c>
      <c r="D123" s="214" t="s">
        <v>525</v>
      </c>
      <c r="E123" s="218" t="s">
        <v>685</v>
      </c>
      <c r="F123" s="216" t="s">
        <v>688</v>
      </c>
      <c r="G123" s="215" t="s">
        <v>349</v>
      </c>
      <c r="H123" s="215" t="s">
        <v>349</v>
      </c>
      <c r="I123" s="215" t="s">
        <v>349</v>
      </c>
      <c r="J123" s="245">
        <v>0.8</v>
      </c>
      <c r="K123" s="243">
        <v>0.45</v>
      </c>
      <c r="L123" s="312">
        <v>999</v>
      </c>
      <c r="M123" s="245">
        <v>0.8</v>
      </c>
      <c r="N123" s="296">
        <v>999</v>
      </c>
      <c r="O123" s="300">
        <v>999</v>
      </c>
      <c r="P123" s="245">
        <v>0.9</v>
      </c>
      <c r="Q123" s="296">
        <v>999</v>
      </c>
      <c r="R123" s="300">
        <v>999</v>
      </c>
    </row>
    <row r="124" spans="1:18" x14ac:dyDescent="0.25">
      <c r="C124" s="169">
        <f t="shared" si="7"/>
        <v>8</v>
      </c>
      <c r="D124" s="214" t="s">
        <v>525</v>
      </c>
      <c r="E124" s="218" t="s">
        <v>685</v>
      </c>
      <c r="F124" s="216" t="s">
        <v>777</v>
      </c>
      <c r="G124" s="215" t="s">
        <v>349</v>
      </c>
      <c r="H124" s="215" t="s">
        <v>349</v>
      </c>
      <c r="I124" s="215" t="s">
        <v>349</v>
      </c>
      <c r="J124" s="245">
        <v>0.45</v>
      </c>
      <c r="K124" s="243">
        <v>0.45</v>
      </c>
      <c r="L124" s="312">
        <v>999</v>
      </c>
      <c r="M124" s="245">
        <v>0.45</v>
      </c>
      <c r="N124" s="296">
        <v>999</v>
      </c>
      <c r="O124" s="300">
        <v>999</v>
      </c>
      <c r="P124" s="245">
        <v>0.65</v>
      </c>
      <c r="Q124" s="296">
        <v>999</v>
      </c>
      <c r="R124" s="300">
        <v>999</v>
      </c>
    </row>
    <row r="125" spans="1:18" x14ac:dyDescent="0.25">
      <c r="C125" s="169">
        <f t="shared" si="7"/>
        <v>8</v>
      </c>
      <c r="D125" s="216" t="s">
        <v>238</v>
      </c>
      <c r="E125" s="215" t="s">
        <v>349</v>
      </c>
      <c r="F125" s="215" t="s">
        <v>349</v>
      </c>
      <c r="G125" s="215" t="s">
        <v>470</v>
      </c>
      <c r="H125" s="219" t="s">
        <v>466</v>
      </c>
      <c r="I125" s="307" t="s">
        <v>576</v>
      </c>
      <c r="J125" s="245">
        <v>0.98</v>
      </c>
      <c r="K125" s="296">
        <v>999</v>
      </c>
      <c r="L125" s="312">
        <v>999</v>
      </c>
      <c r="M125" s="245">
        <v>0.98</v>
      </c>
      <c r="N125" s="296">
        <v>999</v>
      </c>
      <c r="O125" s="300">
        <v>999</v>
      </c>
      <c r="P125" s="245">
        <v>1.3</v>
      </c>
      <c r="Q125" s="296">
        <v>999</v>
      </c>
      <c r="R125" s="300">
        <v>999</v>
      </c>
    </row>
    <row r="126" spans="1:18" x14ac:dyDescent="0.25">
      <c r="C126" s="169">
        <f t="shared" si="7"/>
        <v>8</v>
      </c>
      <c r="D126" s="216" t="s">
        <v>238</v>
      </c>
      <c r="E126" s="215" t="s">
        <v>349</v>
      </c>
      <c r="F126" s="215" t="s">
        <v>349</v>
      </c>
      <c r="G126" s="215" t="s">
        <v>470</v>
      </c>
      <c r="H126" s="219" t="s">
        <v>466</v>
      </c>
      <c r="I126" s="307" t="s">
        <v>577</v>
      </c>
      <c r="J126" s="245">
        <v>0.98</v>
      </c>
      <c r="K126" s="296">
        <v>999</v>
      </c>
      <c r="L126" s="312">
        <v>999</v>
      </c>
      <c r="M126" s="245">
        <v>0.98</v>
      </c>
      <c r="N126" s="296">
        <v>999</v>
      </c>
      <c r="O126" s="300">
        <v>999</v>
      </c>
      <c r="P126" s="245">
        <v>1.3</v>
      </c>
      <c r="Q126" s="296">
        <v>999</v>
      </c>
      <c r="R126" s="300">
        <v>999</v>
      </c>
    </row>
    <row r="127" spans="1:18" x14ac:dyDescent="0.25">
      <c r="C127" s="169">
        <f t="shared" si="7"/>
        <v>8</v>
      </c>
      <c r="D127" s="216" t="s">
        <v>238</v>
      </c>
      <c r="E127" s="215" t="s">
        <v>349</v>
      </c>
      <c r="F127" s="215" t="s">
        <v>349</v>
      </c>
      <c r="G127" s="215" t="s">
        <v>470</v>
      </c>
      <c r="H127" s="219" t="s">
        <v>467</v>
      </c>
      <c r="I127" s="307" t="s">
        <v>576</v>
      </c>
      <c r="J127" s="245">
        <v>0.61</v>
      </c>
      <c r="K127" s="296">
        <v>999</v>
      </c>
      <c r="L127" s="312">
        <v>999</v>
      </c>
      <c r="M127" s="245">
        <v>0.61</v>
      </c>
      <c r="N127" s="296">
        <v>999</v>
      </c>
      <c r="O127" s="300">
        <v>999</v>
      </c>
      <c r="P127" s="245">
        <v>1.1000000000000001</v>
      </c>
      <c r="Q127" s="296">
        <v>999</v>
      </c>
      <c r="R127" s="300">
        <v>999</v>
      </c>
    </row>
    <row r="128" spans="1:18" x14ac:dyDescent="0.25">
      <c r="A128" s="7"/>
      <c r="C128" s="169">
        <f t="shared" si="7"/>
        <v>8</v>
      </c>
      <c r="D128" s="216" t="s">
        <v>238</v>
      </c>
      <c r="E128" s="217" t="s">
        <v>349</v>
      </c>
      <c r="F128" s="217" t="s">
        <v>349</v>
      </c>
      <c r="G128" s="215" t="s">
        <v>470</v>
      </c>
      <c r="H128" s="219" t="s">
        <v>467</v>
      </c>
      <c r="I128" s="307" t="s">
        <v>577</v>
      </c>
      <c r="J128" s="245">
        <v>0.61</v>
      </c>
      <c r="K128" s="296">
        <v>999</v>
      </c>
      <c r="L128" s="312">
        <v>999</v>
      </c>
      <c r="M128" s="245">
        <v>0.61</v>
      </c>
      <c r="N128" s="296">
        <v>999</v>
      </c>
      <c r="O128" s="300">
        <v>999</v>
      </c>
      <c r="P128" s="245">
        <v>1.1000000000000001</v>
      </c>
      <c r="Q128" s="296">
        <v>999</v>
      </c>
      <c r="R128" s="300">
        <v>999</v>
      </c>
    </row>
    <row r="129" spans="1:18" x14ac:dyDescent="0.25">
      <c r="A129" s="130"/>
      <c r="C129" s="169">
        <f t="shared" si="7"/>
        <v>8</v>
      </c>
      <c r="D129" s="216" t="s">
        <v>238</v>
      </c>
      <c r="E129" s="215" t="s">
        <v>349</v>
      </c>
      <c r="F129" s="215" t="s">
        <v>349</v>
      </c>
      <c r="G129" s="215" t="s">
        <v>471</v>
      </c>
      <c r="H129" s="220" t="s">
        <v>349</v>
      </c>
      <c r="I129" s="307" t="s">
        <v>576</v>
      </c>
      <c r="J129" s="245">
        <v>0.57999999999999996</v>
      </c>
      <c r="K129" s="296">
        <v>999</v>
      </c>
      <c r="L129" s="312">
        <v>999</v>
      </c>
      <c r="M129" s="245">
        <v>0.57999999999999996</v>
      </c>
      <c r="N129" s="296">
        <v>999</v>
      </c>
      <c r="O129" s="300">
        <v>999</v>
      </c>
      <c r="P129" s="245">
        <v>0.81</v>
      </c>
      <c r="Q129" s="296">
        <v>999</v>
      </c>
      <c r="R129" s="300">
        <v>999</v>
      </c>
    </row>
    <row r="130" spans="1:18" x14ac:dyDescent="0.25">
      <c r="A130" s="8"/>
      <c r="C130" s="165">
        <f>C129</f>
        <v>8</v>
      </c>
      <c r="D130" s="225" t="s">
        <v>238</v>
      </c>
      <c r="E130" s="201" t="s">
        <v>349</v>
      </c>
      <c r="F130" s="201" t="s">
        <v>349</v>
      </c>
      <c r="G130" s="201" t="s">
        <v>471</v>
      </c>
      <c r="H130" s="226" t="s">
        <v>349</v>
      </c>
      <c r="I130" s="308" t="s">
        <v>577</v>
      </c>
      <c r="J130" s="246">
        <v>0.57999999999999996</v>
      </c>
      <c r="K130" s="297">
        <v>999</v>
      </c>
      <c r="L130" s="313">
        <v>999</v>
      </c>
      <c r="M130" s="246">
        <v>0.57999999999999996</v>
      </c>
      <c r="N130" s="297">
        <v>999</v>
      </c>
      <c r="O130" s="301">
        <v>999</v>
      </c>
      <c r="P130" s="246">
        <v>0.81</v>
      </c>
      <c r="Q130" s="297">
        <v>999</v>
      </c>
      <c r="R130" s="301">
        <v>999</v>
      </c>
    </row>
    <row r="131" spans="1:18" x14ac:dyDescent="0.25">
      <c r="B131" s="138" t="s">
        <v>245</v>
      </c>
      <c r="C131" s="222"/>
      <c r="D131" s="222"/>
      <c r="E131" s="222"/>
      <c r="F131" s="222"/>
      <c r="G131" s="222"/>
      <c r="H131" s="222"/>
      <c r="I131" s="222"/>
    </row>
    <row r="132" spans="1:18" x14ac:dyDescent="0.25">
      <c r="B132" s="138" t="s">
        <v>250</v>
      </c>
      <c r="C132" s="138" t="s">
        <v>778</v>
      </c>
    </row>
    <row r="161" spans="2:9" x14ac:dyDescent="0.25">
      <c r="B161" s="140"/>
    </row>
    <row r="163" spans="2:9" x14ac:dyDescent="0.25">
      <c r="D163" s="139"/>
      <c r="E163" s="139"/>
      <c r="F163" s="139"/>
      <c r="G163" s="139"/>
      <c r="H163" s="139"/>
      <c r="I163" s="139"/>
    </row>
    <row r="182" spans="3:3" x14ac:dyDescent="0.25">
      <c r="C182" s="143"/>
    </row>
    <row r="183" spans="3:3" x14ac:dyDescent="0.25">
      <c r="C183" s="143"/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s="90" t="s">
        <v>250</v>
      </c>
      <c r="B1" s="90" t="s">
        <v>924</v>
      </c>
      <c r="C1" s="90"/>
      <c r="D1" s="90"/>
      <c r="E1" s="90"/>
      <c r="F1" s="90"/>
      <c r="G1" s="90"/>
      <c r="H1" s="90"/>
      <c r="I1" s="90"/>
      <c r="J1" s="90"/>
      <c r="K1" s="96"/>
      <c r="L1" s="96"/>
      <c r="M1" s="94"/>
      <c r="N1" s="96"/>
      <c r="O1" s="96"/>
      <c r="P1" s="95"/>
      <c r="Q1" s="96"/>
      <c r="R1" s="96"/>
      <c r="S1" s="96"/>
      <c r="T1" s="96"/>
      <c r="U1" s="96"/>
      <c r="V1" s="96"/>
      <c r="W1" s="96"/>
      <c r="X1" s="90"/>
    </row>
    <row r="2" spans="1:24" x14ac:dyDescent="0.25">
      <c r="A2" s="90" t="s">
        <v>250</v>
      </c>
      <c r="B2" s="90"/>
      <c r="C2" s="90"/>
      <c r="D2" s="90"/>
      <c r="E2" s="90"/>
      <c r="F2" s="90"/>
      <c r="G2" s="90"/>
      <c r="H2" s="90"/>
      <c r="I2" s="90"/>
      <c r="J2" s="90"/>
      <c r="K2" s="96"/>
      <c r="L2" s="96"/>
      <c r="M2" s="94"/>
      <c r="N2" s="96"/>
      <c r="O2" s="96"/>
      <c r="P2" s="96"/>
      <c r="Q2" s="96"/>
      <c r="R2" s="96"/>
      <c r="S2" s="96"/>
      <c r="T2" s="96"/>
      <c r="U2" s="96"/>
      <c r="V2" s="96"/>
      <c r="W2" s="96"/>
      <c r="X2" s="90"/>
    </row>
    <row r="3" spans="1:24" x14ac:dyDescent="0.25">
      <c r="A3" s="90" t="s">
        <v>250</v>
      </c>
      <c r="B3" s="90" t="s">
        <v>357</v>
      </c>
      <c r="C3" s="90"/>
      <c r="D3" s="90"/>
      <c r="E3" s="90"/>
      <c r="F3" s="90"/>
      <c r="G3" s="90"/>
      <c r="H3" s="90"/>
      <c r="I3" s="90"/>
      <c r="J3" s="90"/>
      <c r="K3" s="90"/>
      <c r="L3" s="96"/>
      <c r="M3" s="96"/>
      <c r="N3" s="94"/>
      <c r="O3" s="96"/>
      <c r="P3" s="97"/>
      <c r="Q3" s="96"/>
      <c r="R3" s="97"/>
      <c r="S3" s="96"/>
      <c r="T3" s="97"/>
      <c r="U3" s="96"/>
      <c r="V3" s="97"/>
      <c r="W3" s="96"/>
      <c r="X3" s="96"/>
    </row>
    <row r="4" spans="1:24" x14ac:dyDescent="0.25">
      <c r="A4" s="90" t="s">
        <v>250</v>
      </c>
      <c r="B4" s="90"/>
      <c r="C4" s="90" t="s">
        <v>486</v>
      </c>
      <c r="D4" s="90"/>
      <c r="E4" s="90"/>
      <c r="F4" s="90"/>
      <c r="G4" s="90"/>
      <c r="H4" s="90"/>
      <c r="I4" s="90"/>
      <c r="J4" s="90"/>
      <c r="K4" s="90"/>
      <c r="L4" s="96"/>
      <c r="M4" s="96"/>
      <c r="N4" s="94"/>
      <c r="O4" s="96"/>
      <c r="P4" s="97"/>
      <c r="Q4" s="96"/>
      <c r="R4" s="97"/>
      <c r="S4" s="96"/>
      <c r="T4" s="97"/>
      <c r="U4" s="96"/>
      <c r="V4" s="97"/>
      <c r="W4" s="96"/>
      <c r="X4" s="96"/>
    </row>
    <row r="5" spans="1:24" x14ac:dyDescent="0.25">
      <c r="A5" s="90" t="s">
        <v>250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6"/>
      <c r="M5" s="96"/>
      <c r="N5" s="94"/>
      <c r="O5" s="98"/>
      <c r="P5" s="97"/>
      <c r="Q5" s="98"/>
      <c r="R5" s="97"/>
      <c r="S5" s="98"/>
      <c r="T5" s="97"/>
      <c r="U5" s="98"/>
      <c r="V5" s="97"/>
      <c r="W5" s="96"/>
      <c r="X5" s="96"/>
    </row>
    <row r="6" spans="1:24" x14ac:dyDescent="0.25">
      <c r="A6" s="90" t="s">
        <v>250</v>
      </c>
      <c r="B6" s="90" t="s">
        <v>358</v>
      </c>
      <c r="C6" s="90"/>
      <c r="D6" s="90"/>
      <c r="E6" s="90"/>
      <c r="F6" s="90"/>
      <c r="G6" s="90"/>
      <c r="H6" s="90"/>
      <c r="I6" s="90"/>
      <c r="J6" s="90"/>
      <c r="K6" s="90"/>
      <c r="L6" s="96"/>
      <c r="M6" s="96"/>
      <c r="N6" s="94"/>
      <c r="O6" s="96"/>
      <c r="P6" s="97"/>
      <c r="Q6" s="96"/>
      <c r="R6" s="97"/>
      <c r="S6" s="96"/>
      <c r="T6" s="97"/>
      <c r="U6" s="96"/>
      <c r="V6" s="97"/>
      <c r="W6" s="96"/>
      <c r="X6" s="96"/>
    </row>
    <row r="7" spans="1:24" x14ac:dyDescent="0.25">
      <c r="A7" s="90" t="s">
        <v>250</v>
      </c>
      <c r="B7" s="90"/>
      <c r="C7" s="90" t="s">
        <v>263</v>
      </c>
      <c r="D7" s="90" t="s">
        <v>264</v>
      </c>
      <c r="E7" s="90" t="s">
        <v>265</v>
      </c>
      <c r="F7" s="90"/>
      <c r="G7" s="90"/>
      <c r="H7" s="90"/>
      <c r="I7" s="90"/>
      <c r="J7" s="90"/>
      <c r="K7" s="90"/>
      <c r="L7" s="96"/>
      <c r="M7" s="96"/>
      <c r="N7" s="93"/>
      <c r="O7" s="96"/>
      <c r="P7" s="97"/>
      <c r="Q7" s="98"/>
      <c r="R7" s="97"/>
      <c r="S7" s="96"/>
      <c r="T7" s="97"/>
      <c r="U7" s="96"/>
      <c r="V7" s="97"/>
      <c r="W7" s="96"/>
      <c r="X7" s="96"/>
    </row>
    <row r="8" spans="1:24" x14ac:dyDescent="0.25">
      <c r="A8" s="90" t="s">
        <v>250</v>
      </c>
      <c r="B8" s="91"/>
      <c r="C8" s="92">
        <v>41217</v>
      </c>
      <c r="D8" s="96" t="s">
        <v>411</v>
      </c>
      <c r="E8" s="90" t="s">
        <v>487</v>
      </c>
      <c r="F8" s="90"/>
      <c r="G8" s="90"/>
      <c r="H8" s="90"/>
      <c r="I8" s="90"/>
      <c r="J8" s="90"/>
      <c r="K8" s="90"/>
      <c r="L8" s="96"/>
      <c r="M8" s="96"/>
      <c r="N8" s="96"/>
      <c r="O8" s="96"/>
      <c r="P8" s="96"/>
      <c r="Q8" s="95"/>
      <c r="R8" s="96"/>
      <c r="S8" s="96"/>
      <c r="T8" s="96"/>
      <c r="U8" s="96"/>
      <c r="V8" s="96"/>
      <c r="W8" s="96"/>
      <c r="X8" s="90"/>
    </row>
    <row r="9" spans="1:24" x14ac:dyDescent="0.25">
      <c r="A9" s="90" t="s">
        <v>250</v>
      </c>
      <c r="B9" s="91"/>
      <c r="C9" s="92"/>
      <c r="D9" s="90"/>
      <c r="E9" s="90"/>
      <c r="F9" s="90"/>
      <c r="G9" s="90"/>
      <c r="H9" s="90"/>
      <c r="I9" s="90"/>
      <c r="J9" s="90"/>
      <c r="K9" s="90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0"/>
    </row>
    <row r="10" spans="1:24" x14ac:dyDescent="0.25">
      <c r="A10" s="90" t="s">
        <v>250</v>
      </c>
      <c r="B10" s="90" t="s">
        <v>267</v>
      </c>
      <c r="C10" s="90"/>
      <c r="D10" s="90"/>
      <c r="E10" s="90"/>
      <c r="F10" s="90"/>
      <c r="G10" s="90"/>
      <c r="H10" s="90"/>
      <c r="I10" s="90"/>
      <c r="J10" s="90"/>
      <c r="K10" s="90"/>
      <c r="L10" s="96"/>
      <c r="M10" s="96"/>
      <c r="N10" s="96"/>
      <c r="O10" s="96"/>
      <c r="P10" s="97"/>
      <c r="Q10" s="96"/>
      <c r="R10" s="97"/>
      <c r="S10" s="96"/>
      <c r="T10" s="97"/>
      <c r="U10" s="96"/>
      <c r="V10" s="97"/>
      <c r="W10" s="96"/>
      <c r="X10" s="90"/>
    </row>
    <row r="11" spans="1:24" x14ac:dyDescent="0.25">
      <c r="A11" s="90" t="s">
        <v>250</v>
      </c>
      <c r="B11" s="90"/>
      <c r="C11" s="90" t="s">
        <v>488</v>
      </c>
      <c r="D11" s="90"/>
      <c r="E11" s="90"/>
      <c r="F11" s="90"/>
      <c r="G11" s="90"/>
      <c r="H11" s="90"/>
      <c r="I11" s="90"/>
      <c r="J11" s="90"/>
      <c r="K11" s="90"/>
      <c r="L11" s="96"/>
      <c r="M11" s="96"/>
      <c r="N11" s="96"/>
      <c r="O11" s="98"/>
      <c r="P11" s="97"/>
      <c r="Q11" s="98"/>
      <c r="R11" s="97"/>
      <c r="S11" s="98"/>
      <c r="T11" s="97"/>
      <c r="U11" s="98"/>
      <c r="V11" s="97"/>
      <c r="W11" s="96"/>
      <c r="X11" s="90"/>
    </row>
    <row r="12" spans="1:24" x14ac:dyDescent="0.25">
      <c r="A12" s="90" t="s">
        <v>250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0"/>
    </row>
    <row r="13" spans="1:24" x14ac:dyDescent="0.25">
      <c r="A13" s="90" t="s">
        <v>250</v>
      </c>
      <c r="B13" s="90" t="s">
        <v>251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</row>
    <row r="14" spans="1:24" x14ac:dyDescent="0.25">
      <c r="A14" s="90" t="s">
        <v>250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</row>
    <row r="15" spans="1:24" x14ac:dyDescent="0.25">
      <c r="A15" s="90" t="s">
        <v>250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</row>
    <row r="16" spans="1:24" x14ac:dyDescent="0.25">
      <c r="A16" s="90" t="s">
        <v>250</v>
      </c>
      <c r="B16" s="90" t="s">
        <v>273</v>
      </c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</row>
    <row r="17" spans="1:10" x14ac:dyDescent="0.25">
      <c r="A17" s="90" t="s">
        <v>250</v>
      </c>
      <c r="B17" s="90"/>
      <c r="C17" s="99" t="s">
        <v>377</v>
      </c>
      <c r="D17" s="90"/>
      <c r="E17" s="90"/>
      <c r="F17" s="90"/>
      <c r="G17" s="90"/>
      <c r="H17" s="90"/>
      <c r="I17" s="90"/>
      <c r="J17" s="90"/>
    </row>
    <row r="18" spans="1:10" x14ac:dyDescent="0.25">
      <c r="A18" s="90" t="s">
        <v>250</v>
      </c>
      <c r="B18" s="90"/>
      <c r="C18" s="90" t="s">
        <v>489</v>
      </c>
      <c r="D18" s="90"/>
      <c r="E18" s="90"/>
      <c r="F18" s="90"/>
      <c r="G18" s="90"/>
      <c r="H18" s="90"/>
      <c r="I18" s="90"/>
      <c r="J18" s="90"/>
    </row>
    <row r="19" spans="1:10" x14ac:dyDescent="0.25">
      <c r="A19" s="90" t="s">
        <v>250</v>
      </c>
      <c r="B19" s="90"/>
      <c r="C19" s="90"/>
      <c r="D19" s="90"/>
      <c r="E19" s="90"/>
      <c r="F19" s="90"/>
      <c r="G19" s="90"/>
      <c r="H19" s="90"/>
      <c r="I19" s="90"/>
      <c r="J19" s="90"/>
    </row>
    <row r="20" spans="1:10" x14ac:dyDescent="0.25">
      <c r="A20" s="96" t="s">
        <v>272</v>
      </c>
      <c r="B20" s="96"/>
      <c r="C20" s="94"/>
      <c r="D20" s="96"/>
      <c r="E20" s="96"/>
      <c r="F20" s="95"/>
      <c r="G20" s="95"/>
      <c r="H20" s="90"/>
      <c r="I20" s="90"/>
      <c r="J20" s="90"/>
    </row>
    <row r="21" spans="1:10" x14ac:dyDescent="0.25">
      <c r="A21" s="96"/>
      <c r="B21" s="145" t="s">
        <v>490</v>
      </c>
      <c r="C21" s="94"/>
      <c r="D21" s="96"/>
      <c r="E21" s="96"/>
      <c r="F21" s="96"/>
      <c r="G21" s="96"/>
      <c r="H21" s="90"/>
      <c r="I21" s="90"/>
      <c r="J21" s="90"/>
    </row>
    <row r="22" spans="1:10" x14ac:dyDescent="0.25">
      <c r="A22" s="96"/>
      <c r="B22" s="96"/>
      <c r="C22" s="119" t="s">
        <v>491</v>
      </c>
      <c r="D22" s="119" t="s">
        <v>469</v>
      </c>
      <c r="E22" s="120" t="s">
        <v>492</v>
      </c>
      <c r="F22" s="120" t="s">
        <v>493</v>
      </c>
      <c r="G22" s="101" t="s">
        <v>494</v>
      </c>
      <c r="H22" s="102"/>
      <c r="I22" s="90"/>
      <c r="J22" s="90"/>
    </row>
    <row r="23" spans="1:10" x14ac:dyDescent="0.25">
      <c r="A23" s="96"/>
      <c r="B23" s="90"/>
      <c r="C23" s="119" t="s">
        <v>525</v>
      </c>
      <c r="D23" s="100" t="s">
        <v>349</v>
      </c>
      <c r="E23" s="100" t="s">
        <v>475</v>
      </c>
      <c r="F23" s="106">
        <v>0.311</v>
      </c>
      <c r="G23" s="106">
        <v>0.872</v>
      </c>
      <c r="H23" s="103"/>
      <c r="I23" s="90"/>
      <c r="J23" s="90"/>
    </row>
    <row r="24" spans="1:10" x14ac:dyDescent="0.25">
      <c r="A24" s="96"/>
      <c r="B24" s="96"/>
      <c r="C24" s="119" t="s">
        <v>525</v>
      </c>
      <c r="D24" s="100" t="s">
        <v>349</v>
      </c>
      <c r="E24" s="123" t="s">
        <v>545</v>
      </c>
      <c r="F24" s="106">
        <v>0.20200000000000001</v>
      </c>
      <c r="G24" s="106">
        <v>0.86699999999999999</v>
      </c>
      <c r="H24" s="102"/>
      <c r="I24" s="90"/>
      <c r="J24" s="90"/>
    </row>
    <row r="25" spans="1:10" x14ac:dyDescent="0.25">
      <c r="A25" s="96"/>
      <c r="B25" s="96"/>
      <c r="C25" s="119" t="s">
        <v>525</v>
      </c>
      <c r="D25" s="100" t="s">
        <v>349</v>
      </c>
      <c r="E25" s="104" t="s">
        <v>477</v>
      </c>
      <c r="F25" s="106">
        <v>0.20200000000000001</v>
      </c>
      <c r="G25" s="106">
        <v>0.86699999999999999</v>
      </c>
      <c r="H25" s="102"/>
      <c r="I25" s="90"/>
      <c r="J25" s="90"/>
    </row>
    <row r="26" spans="1:10" x14ac:dyDescent="0.25">
      <c r="A26" s="96"/>
      <c r="B26" s="96"/>
      <c r="C26" s="101" t="s">
        <v>238</v>
      </c>
      <c r="D26" s="101" t="s">
        <v>470</v>
      </c>
      <c r="E26" s="100" t="s">
        <v>475</v>
      </c>
      <c r="F26" s="106">
        <v>0.71099999999999997</v>
      </c>
      <c r="G26" s="106">
        <v>1.0649999999999999</v>
      </c>
      <c r="H26" s="102"/>
      <c r="I26" s="90"/>
      <c r="J26" s="90"/>
    </row>
    <row r="27" spans="1:10" x14ac:dyDescent="0.25">
      <c r="A27" s="96"/>
      <c r="B27" s="90"/>
      <c r="C27" s="101" t="s">
        <v>238</v>
      </c>
      <c r="D27" s="101" t="s">
        <v>470</v>
      </c>
      <c r="E27" s="123" t="s">
        <v>545</v>
      </c>
      <c r="F27" s="106">
        <v>0.437</v>
      </c>
      <c r="G27" s="106">
        <v>1.2290000000000001</v>
      </c>
      <c r="H27" s="105"/>
      <c r="I27" s="90"/>
      <c r="J27" s="90"/>
    </row>
    <row r="28" spans="1:10" x14ac:dyDescent="0.25">
      <c r="A28" s="90"/>
      <c r="B28" s="90"/>
      <c r="C28" s="101" t="s">
        <v>238</v>
      </c>
      <c r="D28" s="101" t="s">
        <v>470</v>
      </c>
      <c r="E28" s="104" t="s">
        <v>477</v>
      </c>
      <c r="F28" s="106">
        <v>0.437</v>
      </c>
      <c r="G28" s="106">
        <v>1.2290000000000001</v>
      </c>
      <c r="H28" s="105"/>
      <c r="I28" s="90"/>
      <c r="J28" s="90"/>
    </row>
    <row r="29" spans="1:10" x14ac:dyDescent="0.25">
      <c r="A29" s="90"/>
      <c r="B29" s="90"/>
      <c r="C29" s="101" t="s">
        <v>238</v>
      </c>
      <c r="D29" s="101" t="s">
        <v>471</v>
      </c>
      <c r="E29" s="100" t="s">
        <v>475</v>
      </c>
      <c r="F29" s="106">
        <v>0.19500000000000001</v>
      </c>
      <c r="G29" s="106">
        <v>0.88200000000000001</v>
      </c>
      <c r="H29" s="90"/>
      <c r="I29" s="90"/>
      <c r="J29" s="90"/>
    </row>
    <row r="30" spans="1:10" x14ac:dyDescent="0.25">
      <c r="A30" s="90"/>
      <c r="B30" s="90"/>
      <c r="C30" s="101" t="s">
        <v>238</v>
      </c>
      <c r="D30" s="101" t="s">
        <v>471</v>
      </c>
      <c r="E30" s="123" t="s">
        <v>545</v>
      </c>
      <c r="F30" s="106">
        <v>0.31</v>
      </c>
      <c r="G30" s="106">
        <v>0.878</v>
      </c>
      <c r="H30" s="90"/>
      <c r="I30" s="90"/>
      <c r="J30" s="90"/>
    </row>
    <row r="31" spans="1:10" x14ac:dyDescent="0.25">
      <c r="A31" s="90"/>
      <c r="B31" s="90"/>
      <c r="C31" s="101" t="s">
        <v>238</v>
      </c>
      <c r="D31" s="101" t="s">
        <v>471</v>
      </c>
      <c r="E31" s="123" t="s">
        <v>477</v>
      </c>
      <c r="F31" s="106">
        <v>0.31</v>
      </c>
      <c r="G31" s="106">
        <v>0.878</v>
      </c>
      <c r="H31" s="90"/>
      <c r="I31" s="90"/>
      <c r="J31" s="90"/>
    </row>
    <row r="32" spans="1:10" x14ac:dyDescent="0.25">
      <c r="A32" s="90"/>
      <c r="B32" s="96" t="s">
        <v>245</v>
      </c>
      <c r="C32" s="90"/>
      <c r="D32" s="90"/>
      <c r="E32" s="90"/>
      <c r="F32" s="90"/>
      <c r="G32" s="90"/>
      <c r="H32" s="90"/>
      <c r="I32" s="90"/>
      <c r="J32" s="90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s="107" t="s">
        <v>250</v>
      </c>
      <c r="B1" s="107" t="s">
        <v>924</v>
      </c>
      <c r="C1" s="107"/>
      <c r="D1" s="107"/>
      <c r="E1" s="107"/>
      <c r="F1" s="107"/>
      <c r="G1" s="107"/>
      <c r="H1" s="107"/>
      <c r="I1" s="107"/>
      <c r="J1" s="107"/>
      <c r="K1" s="113"/>
      <c r="L1" s="113"/>
      <c r="M1" s="111"/>
      <c r="N1" s="113"/>
      <c r="O1" s="113"/>
      <c r="P1" s="112"/>
      <c r="Q1" s="113"/>
      <c r="R1" s="113"/>
      <c r="S1" s="113"/>
      <c r="T1" s="113"/>
      <c r="U1" s="113"/>
      <c r="V1" s="113"/>
      <c r="W1" s="113"/>
      <c r="X1" s="107"/>
    </row>
    <row r="2" spans="1:24" x14ac:dyDescent="0.25">
      <c r="A2" s="107" t="s">
        <v>250</v>
      </c>
      <c r="B2" s="107"/>
      <c r="C2" s="107"/>
      <c r="D2" s="107"/>
      <c r="E2" s="107"/>
      <c r="F2" s="107"/>
      <c r="G2" s="107"/>
      <c r="H2" s="107"/>
      <c r="I2" s="107"/>
      <c r="J2" s="107"/>
      <c r="K2" s="113"/>
      <c r="L2" s="113"/>
      <c r="M2" s="111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07"/>
    </row>
    <row r="3" spans="1:24" x14ac:dyDescent="0.25">
      <c r="A3" s="107" t="s">
        <v>250</v>
      </c>
      <c r="B3" s="107" t="s">
        <v>357</v>
      </c>
      <c r="C3" s="107"/>
      <c r="D3" s="107"/>
      <c r="E3" s="107"/>
      <c r="F3" s="107"/>
      <c r="G3" s="107"/>
      <c r="H3" s="107"/>
      <c r="I3" s="107"/>
      <c r="J3" s="107"/>
      <c r="K3" s="107"/>
      <c r="L3" s="113"/>
      <c r="M3" s="113"/>
      <c r="N3" s="111"/>
      <c r="O3" s="113"/>
      <c r="P3" s="114"/>
      <c r="Q3" s="113"/>
      <c r="R3" s="114"/>
      <c r="S3" s="113"/>
      <c r="T3" s="114"/>
      <c r="U3" s="113"/>
      <c r="V3" s="114"/>
      <c r="W3" s="113"/>
      <c r="X3" s="113"/>
    </row>
    <row r="4" spans="1:24" x14ac:dyDescent="0.25">
      <c r="A4" s="107" t="s">
        <v>250</v>
      </c>
      <c r="B4" s="107"/>
      <c r="C4" s="107" t="s">
        <v>495</v>
      </c>
      <c r="D4" s="107"/>
      <c r="E4" s="107"/>
      <c r="F4" s="107"/>
      <c r="G4" s="107"/>
      <c r="H4" s="107"/>
      <c r="I4" s="107"/>
      <c r="J4" s="107"/>
      <c r="K4" s="107"/>
      <c r="L4" s="113"/>
      <c r="M4" s="113"/>
      <c r="N4" s="111"/>
      <c r="O4" s="113"/>
      <c r="P4" s="114"/>
      <c r="Q4" s="113"/>
      <c r="R4" s="114"/>
      <c r="S4" s="113"/>
      <c r="T4" s="114"/>
      <c r="U4" s="113"/>
      <c r="V4" s="114"/>
      <c r="W4" s="113"/>
      <c r="X4" s="113"/>
    </row>
    <row r="5" spans="1:24" x14ac:dyDescent="0.25">
      <c r="A5" s="107" t="s">
        <v>250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13"/>
      <c r="M5" s="113"/>
      <c r="N5" s="111"/>
      <c r="O5" s="115"/>
      <c r="P5" s="114"/>
      <c r="Q5" s="115"/>
      <c r="R5" s="114"/>
      <c r="S5" s="115"/>
      <c r="T5" s="114"/>
      <c r="U5" s="115"/>
      <c r="V5" s="114"/>
      <c r="W5" s="113"/>
      <c r="X5" s="113"/>
    </row>
    <row r="6" spans="1:24" x14ac:dyDescent="0.25">
      <c r="A6" s="107" t="s">
        <v>250</v>
      </c>
      <c r="B6" s="107" t="s">
        <v>358</v>
      </c>
      <c r="C6" s="107"/>
      <c r="D6" s="107"/>
      <c r="E6" s="107"/>
      <c r="F6" s="107"/>
      <c r="G6" s="107"/>
      <c r="H6" s="107"/>
      <c r="I6" s="107"/>
      <c r="J6" s="107"/>
      <c r="K6" s="107"/>
      <c r="L6" s="113"/>
      <c r="M6" s="113"/>
      <c r="N6" s="111"/>
      <c r="O6" s="113"/>
      <c r="P6" s="114"/>
      <c r="Q6" s="113"/>
      <c r="R6" s="114"/>
      <c r="S6" s="113"/>
      <c r="T6" s="114"/>
      <c r="U6" s="113"/>
      <c r="V6" s="114"/>
      <c r="W6" s="113"/>
      <c r="X6" s="113"/>
    </row>
    <row r="7" spans="1:24" x14ac:dyDescent="0.25">
      <c r="A7" s="107" t="s">
        <v>250</v>
      </c>
      <c r="B7" s="107"/>
      <c r="C7" s="107" t="s">
        <v>263</v>
      </c>
      <c r="D7" s="107" t="s">
        <v>264</v>
      </c>
      <c r="E7" s="107" t="s">
        <v>265</v>
      </c>
      <c r="F7" s="107"/>
      <c r="G7" s="107"/>
      <c r="H7" s="107"/>
      <c r="I7" s="107"/>
      <c r="J7" s="107"/>
      <c r="K7" s="107"/>
      <c r="L7" s="113"/>
      <c r="M7" s="113"/>
      <c r="N7" s="110"/>
      <c r="O7" s="113"/>
      <c r="P7" s="114"/>
      <c r="Q7" s="115"/>
      <c r="R7" s="114"/>
      <c r="S7" s="113"/>
      <c r="T7" s="114"/>
      <c r="U7" s="113"/>
      <c r="V7" s="114"/>
      <c r="W7" s="113"/>
      <c r="X7" s="113"/>
    </row>
    <row r="8" spans="1:24" x14ac:dyDescent="0.25">
      <c r="A8" s="107" t="s">
        <v>250</v>
      </c>
      <c r="B8" s="108"/>
      <c r="C8" s="109">
        <v>41217</v>
      </c>
      <c r="D8" s="113" t="s">
        <v>411</v>
      </c>
      <c r="E8" s="107" t="s">
        <v>479</v>
      </c>
      <c r="F8" s="107"/>
      <c r="G8" s="107"/>
      <c r="H8" s="107"/>
      <c r="I8" s="107"/>
      <c r="J8" s="107"/>
      <c r="K8" s="107"/>
      <c r="L8" s="113"/>
      <c r="M8" s="113"/>
      <c r="N8" s="113"/>
      <c r="O8" s="113"/>
      <c r="P8" s="113"/>
      <c r="Q8" s="112"/>
      <c r="R8" s="113"/>
      <c r="S8" s="113"/>
      <c r="T8" s="113"/>
      <c r="U8" s="113"/>
      <c r="V8" s="113"/>
      <c r="W8" s="113"/>
      <c r="X8" s="107"/>
    </row>
    <row r="9" spans="1:24" x14ac:dyDescent="0.25">
      <c r="A9" s="107" t="s">
        <v>250</v>
      </c>
      <c r="B9" s="108"/>
      <c r="C9" s="109"/>
      <c r="D9" s="107"/>
      <c r="E9" s="107"/>
      <c r="F9" s="107"/>
      <c r="G9" s="107"/>
      <c r="H9" s="107"/>
      <c r="I9" s="107"/>
      <c r="J9" s="107"/>
      <c r="K9" s="107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07"/>
    </row>
    <row r="10" spans="1:24" x14ac:dyDescent="0.25">
      <c r="A10" s="107" t="s">
        <v>250</v>
      </c>
      <c r="B10" s="107" t="s">
        <v>267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13"/>
      <c r="M10" s="113"/>
      <c r="N10" s="113"/>
      <c r="O10" s="113"/>
      <c r="P10" s="114"/>
      <c r="Q10" s="113"/>
      <c r="R10" s="114"/>
      <c r="S10" s="113"/>
      <c r="T10" s="114"/>
      <c r="U10" s="113"/>
      <c r="V10" s="114"/>
      <c r="W10" s="113"/>
      <c r="X10" s="107"/>
    </row>
    <row r="11" spans="1:24" x14ac:dyDescent="0.25">
      <c r="A11" s="107" t="s">
        <v>250</v>
      </c>
      <c r="B11" s="107"/>
      <c r="C11" s="107" t="s">
        <v>496</v>
      </c>
      <c r="D11" s="107"/>
      <c r="E11" s="107"/>
      <c r="F11" s="107"/>
      <c r="G11" s="107"/>
      <c r="H11" s="107"/>
      <c r="I11" s="107"/>
      <c r="J11" s="107"/>
      <c r="K11" s="107"/>
      <c r="L11" s="113"/>
      <c r="M11" s="113"/>
      <c r="N11" s="113"/>
      <c r="O11" s="115"/>
      <c r="P11" s="114"/>
      <c r="Q11" s="115"/>
      <c r="R11" s="114"/>
      <c r="S11" s="115"/>
      <c r="T11" s="114"/>
      <c r="U11" s="115"/>
      <c r="V11" s="114"/>
      <c r="W11" s="113"/>
      <c r="X11" s="107"/>
    </row>
    <row r="12" spans="1:24" x14ac:dyDescent="0.25">
      <c r="A12" s="107" t="s">
        <v>250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07"/>
    </row>
    <row r="13" spans="1:24" x14ac:dyDescent="0.25">
      <c r="A13" s="107" t="s">
        <v>250</v>
      </c>
      <c r="B13" s="107" t="s">
        <v>251</v>
      </c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x14ac:dyDescent="0.25">
      <c r="A14" s="107" t="s">
        <v>250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 x14ac:dyDescent="0.25">
      <c r="A15" s="107" t="s">
        <v>250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x14ac:dyDescent="0.25">
      <c r="A16" s="107" t="s">
        <v>250</v>
      </c>
      <c r="B16" s="107" t="s">
        <v>273</v>
      </c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8" x14ac:dyDescent="0.25">
      <c r="A17" s="107" t="s">
        <v>250</v>
      </c>
      <c r="B17" s="107"/>
      <c r="C17" s="118" t="s">
        <v>377</v>
      </c>
      <c r="D17" s="107"/>
      <c r="E17" s="107"/>
      <c r="F17" s="107"/>
      <c r="G17" s="107"/>
      <c r="H17" s="107"/>
    </row>
    <row r="18" spans="1:8" x14ac:dyDescent="0.25">
      <c r="A18" s="107" t="s">
        <v>250</v>
      </c>
      <c r="B18" s="107"/>
      <c r="C18" s="107" t="s">
        <v>797</v>
      </c>
      <c r="D18" s="107"/>
      <c r="E18" s="107"/>
      <c r="F18" s="107"/>
      <c r="G18" s="107"/>
      <c r="H18" s="107"/>
    </row>
    <row r="19" spans="1:8" x14ac:dyDescent="0.25">
      <c r="A19" s="107" t="s">
        <v>250</v>
      </c>
      <c r="B19" s="107"/>
      <c r="C19" s="107"/>
      <c r="D19" s="107"/>
      <c r="E19" s="107"/>
      <c r="F19" s="107"/>
      <c r="G19" s="107"/>
      <c r="H19" s="107"/>
    </row>
    <row r="20" spans="1:8" x14ac:dyDescent="0.25">
      <c r="A20" s="113" t="s">
        <v>272</v>
      </c>
      <c r="B20" s="113"/>
      <c r="C20" s="111"/>
      <c r="D20" s="113"/>
      <c r="E20" s="113"/>
      <c r="F20" s="112"/>
      <c r="G20" s="112"/>
      <c r="H20" s="107"/>
    </row>
    <row r="21" spans="1:8" x14ac:dyDescent="0.25">
      <c r="A21" s="113"/>
      <c r="B21" s="113" t="s">
        <v>497</v>
      </c>
      <c r="C21" s="111"/>
      <c r="D21" s="113"/>
      <c r="E21" s="113"/>
      <c r="F21" s="113"/>
      <c r="G21" s="107"/>
    </row>
    <row r="22" spans="1:8" x14ac:dyDescent="0.25">
      <c r="A22" s="113"/>
      <c r="B22" s="113"/>
      <c r="C22" s="119" t="s">
        <v>498</v>
      </c>
      <c r="D22" s="120" t="s">
        <v>499</v>
      </c>
      <c r="E22" s="120" t="s">
        <v>469</v>
      </c>
      <c r="F22" s="120" t="s">
        <v>500</v>
      </c>
      <c r="G22" s="121"/>
    </row>
    <row r="23" spans="1:8" x14ac:dyDescent="0.25">
      <c r="A23" s="113"/>
      <c r="B23" s="107"/>
      <c r="C23" s="119" t="s">
        <v>522</v>
      </c>
      <c r="D23" s="119" t="s">
        <v>349</v>
      </c>
      <c r="E23" s="125" t="s">
        <v>349</v>
      </c>
      <c r="F23" s="125">
        <v>0.77</v>
      </c>
      <c r="G23" s="122"/>
    </row>
    <row r="24" spans="1:8" x14ac:dyDescent="0.25">
      <c r="A24" s="113"/>
      <c r="B24" s="113"/>
      <c r="C24" s="119" t="s">
        <v>523</v>
      </c>
      <c r="D24" s="119" t="s">
        <v>580</v>
      </c>
      <c r="E24" s="125" t="s">
        <v>349</v>
      </c>
      <c r="F24" s="125">
        <v>0.53</v>
      </c>
      <c r="G24" s="121"/>
    </row>
    <row r="25" spans="1:8" x14ac:dyDescent="0.25">
      <c r="A25" s="113"/>
      <c r="B25" s="113"/>
      <c r="C25" s="119" t="s">
        <v>523</v>
      </c>
      <c r="D25" s="119" t="s">
        <v>501</v>
      </c>
      <c r="E25" s="125" t="s">
        <v>349</v>
      </c>
      <c r="F25" s="125">
        <v>0.67</v>
      </c>
      <c r="G25" s="121"/>
    </row>
    <row r="26" spans="1:8" x14ac:dyDescent="0.25">
      <c r="A26" s="113"/>
      <c r="B26" s="113"/>
      <c r="C26" s="120" t="s">
        <v>524</v>
      </c>
      <c r="D26" s="120" t="s">
        <v>349</v>
      </c>
      <c r="E26" s="125" t="s">
        <v>349</v>
      </c>
      <c r="F26" s="125">
        <v>0.88</v>
      </c>
      <c r="G26" s="121"/>
    </row>
    <row r="27" spans="1:8" x14ac:dyDescent="0.25">
      <c r="A27" s="113"/>
      <c r="B27" s="107"/>
      <c r="C27" s="120" t="s">
        <v>242</v>
      </c>
      <c r="D27" s="120" t="s">
        <v>349</v>
      </c>
      <c r="E27" s="125" t="s">
        <v>349</v>
      </c>
      <c r="F27" s="125">
        <v>0.53</v>
      </c>
      <c r="G27" s="124"/>
    </row>
    <row r="28" spans="1:8" x14ac:dyDescent="0.25">
      <c r="A28" s="107"/>
      <c r="B28" s="107"/>
      <c r="C28" s="120" t="s">
        <v>238</v>
      </c>
      <c r="D28" s="120" t="s">
        <v>349</v>
      </c>
      <c r="E28" s="125" t="s">
        <v>471</v>
      </c>
      <c r="F28" s="125">
        <v>0.88</v>
      </c>
      <c r="G28" s="107"/>
    </row>
    <row r="29" spans="1:8" x14ac:dyDescent="0.25">
      <c r="A29" s="107"/>
      <c r="B29" s="107"/>
      <c r="C29" s="120" t="s">
        <v>238</v>
      </c>
      <c r="D29" s="120" t="s">
        <v>349</v>
      </c>
      <c r="E29" s="125" t="s">
        <v>470</v>
      </c>
      <c r="F29" s="125">
        <v>1</v>
      </c>
      <c r="G29" s="107"/>
    </row>
    <row r="30" spans="1:8" x14ac:dyDescent="0.25">
      <c r="A30" s="107"/>
      <c r="B30" s="107"/>
      <c r="C30" s="117" t="s">
        <v>332</v>
      </c>
      <c r="D30" s="116" t="s">
        <v>502</v>
      </c>
      <c r="E30" s="107"/>
      <c r="F30" s="107"/>
      <c r="G30" s="107"/>
    </row>
    <row r="31" spans="1:8" x14ac:dyDescent="0.25">
      <c r="B31" s="113" t="s">
        <v>245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8" tint="0.39997558519241921"/>
  </sheetPr>
  <dimension ref="A1:G44"/>
  <sheetViews>
    <sheetView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7" x14ac:dyDescent="0.25">
      <c r="A1" s="138" t="s">
        <v>250</v>
      </c>
      <c r="B1" s="138" t="s">
        <v>924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B2" s="138"/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357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B4" s="138"/>
      <c r="C4" s="138" t="s">
        <v>581</v>
      </c>
      <c r="D4" s="138"/>
      <c r="E4" s="138"/>
      <c r="F4" s="138"/>
      <c r="G4" s="138"/>
    </row>
    <row r="5" spans="1:7" x14ac:dyDescent="0.25">
      <c r="A5" s="138" t="s">
        <v>250</v>
      </c>
      <c r="B5" s="138"/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358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B7" s="138"/>
      <c r="C7" s="138" t="s">
        <v>263</v>
      </c>
      <c r="D7" s="138" t="s">
        <v>264</v>
      </c>
      <c r="E7" s="138" t="s">
        <v>265</v>
      </c>
      <c r="F7" s="138"/>
      <c r="G7" s="138"/>
    </row>
    <row r="8" spans="1:7" x14ac:dyDescent="0.25">
      <c r="A8" s="138" t="s">
        <v>250</v>
      </c>
      <c r="B8" s="141"/>
      <c r="C8" s="144">
        <v>41741</v>
      </c>
      <c r="D8" s="145" t="s">
        <v>411</v>
      </c>
      <c r="E8" s="138" t="s">
        <v>582</v>
      </c>
      <c r="F8" s="138"/>
      <c r="G8" s="138"/>
    </row>
    <row r="9" spans="1:7" x14ac:dyDescent="0.25">
      <c r="A9" s="138" t="s">
        <v>250</v>
      </c>
      <c r="B9" s="141"/>
      <c r="C9" s="144"/>
      <c r="D9" s="145"/>
      <c r="E9" s="138"/>
      <c r="F9" s="138"/>
      <c r="G9" s="138"/>
    </row>
    <row r="10" spans="1:7" x14ac:dyDescent="0.25">
      <c r="A10" s="138" t="s">
        <v>250</v>
      </c>
      <c r="B10" s="141"/>
      <c r="C10" s="144"/>
      <c r="D10" s="138"/>
      <c r="E10" s="138"/>
      <c r="F10" s="138"/>
      <c r="G10" s="138"/>
    </row>
    <row r="11" spans="1:7" x14ac:dyDescent="0.25">
      <c r="A11" s="138" t="s">
        <v>250</v>
      </c>
      <c r="B11" s="138" t="s">
        <v>267</v>
      </c>
      <c r="C11" s="138"/>
      <c r="D11" s="138"/>
      <c r="E11" s="138"/>
      <c r="F11" s="138"/>
      <c r="G11" s="138"/>
    </row>
    <row r="12" spans="1:7" x14ac:dyDescent="0.25">
      <c r="A12" s="138" t="s">
        <v>250</v>
      </c>
      <c r="B12" s="138"/>
      <c r="C12" s="138" t="s">
        <v>583</v>
      </c>
      <c r="D12" s="138"/>
      <c r="E12" s="138"/>
      <c r="F12" s="138"/>
      <c r="G12" s="138"/>
    </row>
    <row r="13" spans="1:7" x14ac:dyDescent="0.25">
      <c r="A13" s="138" t="s">
        <v>250</v>
      </c>
      <c r="B13" s="138"/>
      <c r="C13" s="138"/>
      <c r="D13" s="138"/>
      <c r="E13" s="138"/>
      <c r="F13" s="138"/>
      <c r="G13" s="138"/>
    </row>
    <row r="14" spans="1:7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/>
      <c r="C15" s="138"/>
      <c r="D15" s="138"/>
      <c r="E15" s="138"/>
      <c r="F15" s="138"/>
      <c r="G15" s="138"/>
    </row>
    <row r="16" spans="1:7" x14ac:dyDescent="0.25">
      <c r="A16" s="138" t="s">
        <v>250</v>
      </c>
      <c r="B16" s="138"/>
      <c r="C16" s="138"/>
      <c r="D16" s="138"/>
      <c r="E16" s="138"/>
      <c r="F16" s="138"/>
      <c r="G16" s="138"/>
    </row>
    <row r="17" spans="1:7" x14ac:dyDescent="0.25">
      <c r="A17" s="138" t="s">
        <v>250</v>
      </c>
      <c r="B17" s="138" t="s">
        <v>273</v>
      </c>
      <c r="C17" s="138"/>
      <c r="D17" s="138"/>
      <c r="E17" s="138"/>
      <c r="F17" s="138"/>
      <c r="G17" s="138"/>
    </row>
    <row r="18" spans="1:7" x14ac:dyDescent="0.25">
      <c r="A18" s="138" t="s">
        <v>250</v>
      </c>
      <c r="B18" s="138"/>
      <c r="C18" s="138" t="s">
        <v>585</v>
      </c>
      <c r="D18" s="138"/>
      <c r="E18" s="138"/>
      <c r="F18" s="138"/>
      <c r="G18" s="138"/>
    </row>
    <row r="19" spans="1:7" x14ac:dyDescent="0.25">
      <c r="A19" s="138" t="s">
        <v>250</v>
      </c>
      <c r="B19" s="138"/>
      <c r="C19" s="138"/>
      <c r="D19" s="138"/>
      <c r="E19" s="138"/>
      <c r="F19" s="138"/>
      <c r="G19" s="138"/>
    </row>
    <row r="20" spans="1:7" x14ac:dyDescent="0.25">
      <c r="A20" s="138" t="s">
        <v>250</v>
      </c>
      <c r="B20" s="138"/>
      <c r="C20" s="138"/>
      <c r="D20" s="138"/>
      <c r="E20" s="138"/>
      <c r="F20" s="138"/>
      <c r="G20" s="138"/>
    </row>
    <row r="21" spans="1:7" x14ac:dyDescent="0.25">
      <c r="A21" s="138" t="s">
        <v>366</v>
      </c>
      <c r="B21" s="138"/>
      <c r="C21" s="138"/>
      <c r="D21" s="138"/>
      <c r="E21" s="138"/>
      <c r="F21" s="138"/>
      <c r="G21" s="138"/>
    </row>
    <row r="22" spans="1:7" x14ac:dyDescent="0.25">
      <c r="A22" s="138"/>
      <c r="B22" s="140" t="s">
        <v>586</v>
      </c>
      <c r="C22" s="140"/>
      <c r="D22" s="138"/>
      <c r="E22" s="138"/>
      <c r="F22" s="138"/>
      <c r="G22" s="138"/>
    </row>
    <row r="23" spans="1:7" x14ac:dyDescent="0.25">
      <c r="A23" s="138"/>
      <c r="B23" s="140"/>
      <c r="C23" s="140" t="s">
        <v>584</v>
      </c>
      <c r="D23" s="141" t="s">
        <v>236</v>
      </c>
      <c r="E23" s="56" t="s">
        <v>209</v>
      </c>
      <c r="F23" s="56"/>
      <c r="G23" s="56"/>
    </row>
    <row r="24" spans="1:7" x14ac:dyDescent="0.25">
      <c r="A24" s="138"/>
      <c r="B24" s="138"/>
      <c r="C24" s="138">
        <v>1</v>
      </c>
      <c r="D24" s="80">
        <v>0.47</v>
      </c>
      <c r="E24" s="57">
        <v>0.41</v>
      </c>
      <c r="F24" s="57"/>
      <c r="G24" s="58"/>
    </row>
    <row r="25" spans="1:7" x14ac:dyDescent="0.25">
      <c r="A25" s="138"/>
      <c r="B25" s="138"/>
      <c r="C25" s="139">
        <v>2</v>
      </c>
      <c r="D25" s="80">
        <v>0.47</v>
      </c>
      <c r="E25" s="57">
        <v>0.31</v>
      </c>
      <c r="F25" s="58"/>
      <c r="G25" s="58"/>
    </row>
    <row r="26" spans="1:7" x14ac:dyDescent="0.25">
      <c r="A26" s="138"/>
      <c r="B26" s="138"/>
      <c r="C26" s="138">
        <v>3</v>
      </c>
      <c r="D26" s="80">
        <v>0.57999999999999996</v>
      </c>
      <c r="E26" s="57">
        <v>0.41</v>
      </c>
      <c r="F26" s="58"/>
      <c r="G26" s="58"/>
    </row>
    <row r="27" spans="1:7" x14ac:dyDescent="0.25">
      <c r="A27" s="138"/>
      <c r="B27" s="138"/>
      <c r="C27" s="138">
        <v>4</v>
      </c>
      <c r="D27" s="80">
        <v>0.47</v>
      </c>
      <c r="E27" s="57">
        <v>0.31</v>
      </c>
      <c r="F27" s="58"/>
      <c r="G27" s="58"/>
    </row>
    <row r="28" spans="1:7" x14ac:dyDescent="0.25">
      <c r="A28" s="138"/>
      <c r="B28" s="138"/>
      <c r="C28" s="138">
        <v>5</v>
      </c>
      <c r="D28" s="80">
        <v>0.57999999999999996</v>
      </c>
      <c r="E28" s="57">
        <v>0.41</v>
      </c>
      <c r="F28" s="58"/>
      <c r="G28" s="58"/>
    </row>
    <row r="29" spans="1:7" x14ac:dyDescent="0.25">
      <c r="A29" s="138"/>
      <c r="B29" s="138"/>
      <c r="C29" s="138">
        <v>6</v>
      </c>
      <c r="D29" s="80">
        <v>0.47</v>
      </c>
      <c r="E29" s="57">
        <v>0.31</v>
      </c>
      <c r="F29" s="58"/>
      <c r="G29" s="58"/>
    </row>
    <row r="30" spans="1:7" x14ac:dyDescent="0.25">
      <c r="A30" s="138"/>
      <c r="B30" s="138"/>
      <c r="C30" s="138">
        <v>7</v>
      </c>
      <c r="D30" s="80">
        <v>0.47</v>
      </c>
      <c r="E30" s="57">
        <v>0.31</v>
      </c>
      <c r="F30" s="58"/>
      <c r="G30" s="58"/>
    </row>
    <row r="31" spans="1:7" x14ac:dyDescent="0.25">
      <c r="A31" s="138"/>
      <c r="B31" s="138"/>
      <c r="C31" s="138">
        <v>8</v>
      </c>
      <c r="D31" s="80">
        <v>0.47</v>
      </c>
      <c r="E31" s="57">
        <v>0.31</v>
      </c>
      <c r="F31" s="138"/>
      <c r="G31" s="138"/>
    </row>
    <row r="32" spans="1:7" x14ac:dyDescent="0.25">
      <c r="A32" s="138"/>
      <c r="C32" s="138">
        <v>9</v>
      </c>
      <c r="D32" s="80">
        <v>0.47</v>
      </c>
      <c r="E32" s="57">
        <v>0.31</v>
      </c>
      <c r="F32" s="138"/>
      <c r="G32" s="138"/>
    </row>
    <row r="33" spans="2:5" x14ac:dyDescent="0.25">
      <c r="C33" s="138">
        <v>10</v>
      </c>
      <c r="D33" s="80">
        <v>0.47</v>
      </c>
      <c r="E33" s="57">
        <v>0.31</v>
      </c>
    </row>
    <row r="34" spans="2:5" x14ac:dyDescent="0.25">
      <c r="C34" s="138">
        <v>11</v>
      </c>
      <c r="D34" s="80">
        <v>0.47</v>
      </c>
      <c r="E34" s="57">
        <v>0.31</v>
      </c>
    </row>
    <row r="35" spans="2:5" x14ac:dyDescent="0.25">
      <c r="C35" s="138">
        <v>12</v>
      </c>
      <c r="D35" s="80">
        <v>0.47</v>
      </c>
      <c r="E35" s="57">
        <v>0.31</v>
      </c>
    </row>
    <row r="36" spans="2:5" x14ac:dyDescent="0.25">
      <c r="C36" s="138">
        <v>13</v>
      </c>
      <c r="D36" s="80">
        <v>0.47</v>
      </c>
      <c r="E36" s="57">
        <v>0.31</v>
      </c>
    </row>
    <row r="37" spans="2:5" x14ac:dyDescent="0.25">
      <c r="C37" s="138">
        <v>14</v>
      </c>
      <c r="D37" s="80">
        <v>0.47</v>
      </c>
      <c r="E37" s="57">
        <v>0.31</v>
      </c>
    </row>
    <row r="38" spans="2:5" x14ac:dyDescent="0.25">
      <c r="C38" s="138">
        <v>15</v>
      </c>
      <c r="D38" s="80">
        <v>0.47</v>
      </c>
      <c r="E38" s="57">
        <v>0.31</v>
      </c>
    </row>
    <row r="39" spans="2:5" x14ac:dyDescent="0.25">
      <c r="C39" s="138">
        <v>16</v>
      </c>
      <c r="D39" s="80">
        <v>0.47</v>
      </c>
      <c r="E39" s="57">
        <v>0.31</v>
      </c>
    </row>
    <row r="40" spans="2:5" x14ac:dyDescent="0.25">
      <c r="B40" s="138" t="s">
        <v>245</v>
      </c>
      <c r="C40" s="138"/>
    </row>
    <row r="41" spans="2:5" x14ac:dyDescent="0.25">
      <c r="C41" s="138"/>
    </row>
    <row r="42" spans="2:5" x14ac:dyDescent="0.25">
      <c r="C42" s="138"/>
    </row>
    <row r="43" spans="2:5" x14ac:dyDescent="0.25">
      <c r="C43" s="138"/>
    </row>
    <row r="44" spans="2:5" x14ac:dyDescent="0.25">
      <c r="C44" s="138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69"/>
  <sheetViews>
    <sheetView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250</v>
      </c>
      <c r="B1" s="39" t="s">
        <v>924</v>
      </c>
    </row>
    <row r="2" spans="1:5" s="39" customFormat="1" x14ac:dyDescent="0.25">
      <c r="A2" s="39" t="s">
        <v>250</v>
      </c>
    </row>
    <row r="3" spans="1:5" s="39" customFormat="1" x14ac:dyDescent="0.25">
      <c r="A3" s="39" t="s">
        <v>250</v>
      </c>
      <c r="B3" s="39" t="s">
        <v>357</v>
      </c>
    </row>
    <row r="4" spans="1:5" s="39" customFormat="1" x14ac:dyDescent="0.25">
      <c r="A4" s="39" t="s">
        <v>250</v>
      </c>
      <c r="C4" s="39" t="s">
        <v>360</v>
      </c>
    </row>
    <row r="5" spans="1:5" s="39" customFormat="1" x14ac:dyDescent="0.25">
      <c r="A5" s="39" t="s">
        <v>250</v>
      </c>
    </row>
    <row r="6" spans="1:5" x14ac:dyDescent="0.25">
      <c r="A6" t="s">
        <v>250</v>
      </c>
      <c r="B6" s="39" t="s">
        <v>358</v>
      </c>
    </row>
    <row r="7" spans="1:5" x14ac:dyDescent="0.25">
      <c r="A7" t="s">
        <v>250</v>
      </c>
      <c r="C7" t="s">
        <v>263</v>
      </c>
      <c r="D7" t="s">
        <v>264</v>
      </c>
      <c r="E7" t="s">
        <v>265</v>
      </c>
    </row>
    <row r="8" spans="1:5" x14ac:dyDescent="0.25">
      <c r="A8" t="s">
        <v>250</v>
      </c>
      <c r="B8" s="17"/>
      <c r="C8" s="25">
        <v>41186</v>
      </c>
      <c r="D8" s="33" t="s">
        <v>387</v>
      </c>
      <c r="E8" t="s">
        <v>266</v>
      </c>
    </row>
    <row r="9" spans="1:5" s="39" customFormat="1" x14ac:dyDescent="0.25">
      <c r="A9" s="39" t="s">
        <v>250</v>
      </c>
      <c r="B9" s="17"/>
      <c r="C9" s="25">
        <v>41203</v>
      </c>
      <c r="D9" s="33" t="s">
        <v>387</v>
      </c>
      <c r="E9" s="39" t="s">
        <v>364</v>
      </c>
    </row>
    <row r="10" spans="1:5" x14ac:dyDescent="0.25">
      <c r="A10" t="s">
        <v>250</v>
      </c>
      <c r="B10" s="17"/>
      <c r="C10" s="25"/>
    </row>
    <row r="11" spans="1:5" x14ac:dyDescent="0.25">
      <c r="A11" t="s">
        <v>250</v>
      </c>
      <c r="B11" s="39" t="s">
        <v>359</v>
      </c>
    </row>
    <row r="12" spans="1:5" x14ac:dyDescent="0.25">
      <c r="A12" t="s">
        <v>250</v>
      </c>
      <c r="C12" s="39" t="s">
        <v>369</v>
      </c>
    </row>
    <row r="13" spans="1:5" s="39" customFormat="1" x14ac:dyDescent="0.25">
      <c r="A13" s="39" t="s">
        <v>250</v>
      </c>
      <c r="C13" s="39" t="s">
        <v>370</v>
      </c>
    </row>
    <row r="14" spans="1:5" s="39" customFormat="1" x14ac:dyDescent="0.25">
      <c r="A14" s="39" t="s">
        <v>250</v>
      </c>
      <c r="C14" s="39" t="s">
        <v>371</v>
      </c>
    </row>
    <row r="15" spans="1:5" x14ac:dyDescent="0.25">
      <c r="A15" t="s">
        <v>250</v>
      </c>
      <c r="C15" t="s">
        <v>268</v>
      </c>
    </row>
    <row r="16" spans="1:5" x14ac:dyDescent="0.25">
      <c r="A16" t="s">
        <v>250</v>
      </c>
    </row>
    <row r="17" spans="1:21" x14ac:dyDescent="0.25">
      <c r="A17" t="s">
        <v>250</v>
      </c>
      <c r="B17" s="39" t="s">
        <v>356</v>
      </c>
    </row>
    <row r="18" spans="1:21" x14ac:dyDescent="0.25">
      <c r="A18" t="s">
        <v>250</v>
      </c>
      <c r="C18" t="s">
        <v>274</v>
      </c>
    </row>
    <row r="19" spans="1:21" x14ac:dyDescent="0.25">
      <c r="A19" s="39" t="s">
        <v>365</v>
      </c>
      <c r="C19" s="26"/>
    </row>
    <row r="20" spans="1:21" x14ac:dyDescent="0.25">
      <c r="A20" t="s">
        <v>250</v>
      </c>
      <c r="C20" s="39" t="s">
        <v>345</v>
      </c>
      <c r="D20" s="17" t="s">
        <v>243</v>
      </c>
      <c r="E20" s="17" t="s">
        <v>236</v>
      </c>
      <c r="F20" s="17" t="s">
        <v>236</v>
      </c>
      <c r="G20" s="17" t="s">
        <v>236</v>
      </c>
      <c r="H20" s="17" t="s">
        <v>236</v>
      </c>
      <c r="I20" s="17" t="s">
        <v>236</v>
      </c>
      <c r="J20" s="17" t="s">
        <v>236</v>
      </c>
      <c r="K20" s="17" t="s">
        <v>236</v>
      </c>
      <c r="L20" s="17" t="s">
        <v>236</v>
      </c>
      <c r="M20" s="17" t="s">
        <v>236</v>
      </c>
      <c r="N20" s="17" t="s">
        <v>236</v>
      </c>
      <c r="O20" s="17" t="s">
        <v>236</v>
      </c>
      <c r="P20" s="17" t="s">
        <v>236</v>
      </c>
      <c r="Q20" s="17" t="s">
        <v>236</v>
      </c>
      <c r="R20" s="17" t="s">
        <v>236</v>
      </c>
      <c r="S20" s="17" t="s">
        <v>236</v>
      </c>
      <c r="T20" s="17" t="s">
        <v>236</v>
      </c>
    </row>
    <row r="21" spans="1:21" x14ac:dyDescent="0.25">
      <c r="A21" t="s">
        <v>250</v>
      </c>
      <c r="C21" s="17" t="s">
        <v>244</v>
      </c>
      <c r="E21" s="17">
        <v>1</v>
      </c>
      <c r="F21" s="17">
        <v>2</v>
      </c>
      <c r="G21" s="17">
        <v>3</v>
      </c>
      <c r="H21" s="17">
        <v>4</v>
      </c>
      <c r="I21" s="17">
        <v>5</v>
      </c>
      <c r="J21" s="17">
        <v>6</v>
      </c>
      <c r="K21" s="17">
        <v>7</v>
      </c>
      <c r="L21" s="17">
        <v>8</v>
      </c>
      <c r="M21" s="17">
        <v>9</v>
      </c>
      <c r="N21" s="17">
        <v>10</v>
      </c>
      <c r="O21" s="17">
        <v>11</v>
      </c>
      <c r="P21" s="17">
        <v>12</v>
      </c>
      <c r="Q21" s="17">
        <v>13</v>
      </c>
      <c r="R21" s="17">
        <v>14</v>
      </c>
      <c r="S21" s="17">
        <v>15</v>
      </c>
      <c r="T21" s="17">
        <v>16</v>
      </c>
    </row>
    <row r="22" spans="1:21" x14ac:dyDescent="0.25">
      <c r="A22" t="s">
        <v>250</v>
      </c>
      <c r="C22" s="39" t="s">
        <v>346</v>
      </c>
      <c r="D22" s="17" t="s">
        <v>247</v>
      </c>
      <c r="E22" s="17">
        <v>4.9000000000000002E-2</v>
      </c>
      <c r="F22" s="17">
        <v>3.9E-2</v>
      </c>
      <c r="G22" s="17">
        <v>3.9E-2</v>
      </c>
      <c r="H22" s="17">
        <v>3.9E-2</v>
      </c>
      <c r="I22" s="17">
        <v>4.9000000000000002E-2</v>
      </c>
      <c r="J22" s="17">
        <v>7.4999999999999997E-2</v>
      </c>
      <c r="K22" s="17">
        <v>6.7000000000000004E-2</v>
      </c>
      <c r="L22" s="17">
        <v>6.7000000000000004E-2</v>
      </c>
      <c r="M22" s="17">
        <v>3.9E-2</v>
      </c>
      <c r="N22" s="17">
        <v>3.9E-2</v>
      </c>
      <c r="O22" s="17">
        <v>3.9E-2</v>
      </c>
      <c r="P22" s="17">
        <v>3.9E-2</v>
      </c>
      <c r="Q22" s="17">
        <v>3.9E-2</v>
      </c>
      <c r="R22" s="17">
        <v>3.9E-2</v>
      </c>
      <c r="S22" s="17">
        <v>3.9E-2</v>
      </c>
      <c r="T22" s="17">
        <v>3.9E-2</v>
      </c>
    </row>
    <row r="23" spans="1:21" x14ac:dyDescent="0.25">
      <c r="A23" t="s">
        <v>250</v>
      </c>
      <c r="C23" s="39" t="s">
        <v>346</v>
      </c>
      <c r="D23" s="17" t="s">
        <v>248</v>
      </c>
      <c r="E23" s="17">
        <v>9.8000000000000004E-2</v>
      </c>
      <c r="F23" s="17">
        <v>6.2E-2</v>
      </c>
      <c r="G23" s="17">
        <v>8.2000000000000003E-2</v>
      </c>
      <c r="H23" s="17">
        <v>6.2E-2</v>
      </c>
      <c r="I23" s="17">
        <v>6.2E-2</v>
      </c>
      <c r="J23" s="17">
        <v>9.8000000000000004E-2</v>
      </c>
      <c r="K23" s="17">
        <v>9.8000000000000004E-2</v>
      </c>
      <c r="L23" s="17">
        <v>6.2E-2</v>
      </c>
      <c r="M23" s="17">
        <v>6.2E-2</v>
      </c>
      <c r="N23" s="17">
        <v>6.2E-2</v>
      </c>
      <c r="O23" s="17">
        <v>6.2E-2</v>
      </c>
      <c r="P23" s="17">
        <v>6.2E-2</v>
      </c>
      <c r="Q23" s="17">
        <v>6.2E-2</v>
      </c>
      <c r="R23" s="17">
        <v>6.2E-2</v>
      </c>
      <c r="S23" s="17">
        <v>6.2E-2</v>
      </c>
      <c r="T23" s="17">
        <v>6.2E-2</v>
      </c>
    </row>
    <row r="24" spans="1:21" x14ac:dyDescent="0.25">
      <c r="A24" t="s">
        <v>250</v>
      </c>
      <c r="C24" s="39" t="s">
        <v>346</v>
      </c>
      <c r="D24" s="17" t="s">
        <v>249</v>
      </c>
      <c r="E24" s="17">
        <v>4.8000000000000001E-2</v>
      </c>
      <c r="F24" s="17">
        <v>3.9E-2</v>
      </c>
      <c r="G24" s="17">
        <v>7.0999999999999994E-2</v>
      </c>
      <c r="H24" s="17">
        <v>7.0999999999999994E-2</v>
      </c>
      <c r="I24" s="17">
        <v>7.0999999999999994E-2</v>
      </c>
      <c r="J24" s="17">
        <v>7.0999999999999994E-2</v>
      </c>
      <c r="K24" s="17">
        <v>7.0999999999999994E-2</v>
      </c>
      <c r="L24" s="17">
        <v>7.0999999999999994E-2</v>
      </c>
      <c r="M24" s="17">
        <v>7.0999999999999994E-2</v>
      </c>
      <c r="N24" s="17">
        <v>7.0999999999999994E-2</v>
      </c>
      <c r="O24" s="17">
        <v>3.9E-2</v>
      </c>
      <c r="P24" s="17">
        <v>7.0999999999999994E-2</v>
      </c>
      <c r="Q24" s="17">
        <v>7.0999999999999994E-2</v>
      </c>
      <c r="R24" s="17">
        <v>3.9E-2</v>
      </c>
      <c r="S24" s="17">
        <v>3.9E-2</v>
      </c>
      <c r="T24" s="17">
        <v>3.9E-2</v>
      </c>
    </row>
    <row r="25" spans="1:21" s="39" customFormat="1" x14ac:dyDescent="0.25">
      <c r="A25" s="39" t="s">
        <v>250</v>
      </c>
      <c r="C25" s="39" t="s">
        <v>347</v>
      </c>
      <c r="D25" s="17" t="s">
        <v>247</v>
      </c>
      <c r="E25" s="33">
        <v>3.4000000000000002E-2</v>
      </c>
      <c r="F25" s="33">
        <v>2.8000000000000001E-2</v>
      </c>
      <c r="G25" s="33">
        <v>3.9E-2</v>
      </c>
      <c r="H25" s="33">
        <v>2.8000000000000001E-2</v>
      </c>
      <c r="I25" s="33">
        <v>3.9E-2</v>
      </c>
      <c r="J25" s="33">
        <v>3.9E-2</v>
      </c>
      <c r="K25" s="33">
        <v>3.9E-2</v>
      </c>
      <c r="L25" s="33">
        <v>2.8000000000000001E-2</v>
      </c>
      <c r="M25" s="33">
        <v>2.8000000000000001E-2</v>
      </c>
      <c r="N25" s="33">
        <v>2.8000000000000001E-2</v>
      </c>
      <c r="O25" s="33">
        <v>2.8000000000000001E-2</v>
      </c>
      <c r="P25" s="33">
        <v>2.8000000000000001E-2</v>
      </c>
      <c r="Q25" s="33">
        <v>2.8000000000000001E-2</v>
      </c>
      <c r="R25" s="33">
        <v>2.8000000000000001E-2</v>
      </c>
      <c r="S25" s="33">
        <v>2.8000000000000001E-2</v>
      </c>
      <c r="T25" s="33">
        <v>2.8000000000000001E-2</v>
      </c>
    </row>
    <row r="26" spans="1:21" s="39" customFormat="1" x14ac:dyDescent="0.25">
      <c r="A26" s="39" t="s">
        <v>250</v>
      </c>
      <c r="C26" s="39" t="s">
        <v>347</v>
      </c>
      <c r="D26" s="17" t="s">
        <v>248</v>
      </c>
      <c r="E26" s="33">
        <v>0.105</v>
      </c>
      <c r="F26" s="33">
        <v>0.105</v>
      </c>
      <c r="G26" s="33">
        <v>0.105</v>
      </c>
      <c r="H26" s="33">
        <v>0.105</v>
      </c>
      <c r="I26" s="33">
        <v>0.105</v>
      </c>
      <c r="J26" s="33">
        <v>0.105</v>
      </c>
      <c r="K26" s="33">
        <v>0.105</v>
      </c>
      <c r="L26" s="33">
        <v>0.105</v>
      </c>
      <c r="M26" s="33">
        <v>0.105</v>
      </c>
      <c r="N26" s="33">
        <v>0.105</v>
      </c>
      <c r="O26" s="33">
        <v>0.105</v>
      </c>
      <c r="P26" s="33">
        <v>0.105</v>
      </c>
      <c r="Q26" s="33">
        <v>0.105</v>
      </c>
      <c r="R26" s="33">
        <v>0.105</v>
      </c>
      <c r="S26" s="33">
        <v>0.105</v>
      </c>
      <c r="T26" s="33">
        <v>0.105</v>
      </c>
    </row>
    <row r="27" spans="1:21" s="39" customFormat="1" x14ac:dyDescent="0.25">
      <c r="A27" s="39" t="s">
        <v>250</v>
      </c>
      <c r="C27" s="39" t="s">
        <v>347</v>
      </c>
      <c r="D27" s="17" t="s">
        <v>249</v>
      </c>
      <c r="E27" s="33">
        <v>3.4000000000000002E-2</v>
      </c>
      <c r="F27" s="33">
        <v>3.4000000000000002E-2</v>
      </c>
      <c r="G27" s="33">
        <v>3.9E-2</v>
      </c>
      <c r="H27" s="33">
        <v>3.9E-2</v>
      </c>
      <c r="I27" s="33">
        <v>3.9E-2</v>
      </c>
      <c r="J27" s="33">
        <v>3.9E-2</v>
      </c>
      <c r="K27" s="33">
        <v>7.0999999999999994E-2</v>
      </c>
      <c r="L27" s="33">
        <v>3.9E-2</v>
      </c>
      <c r="M27" s="33">
        <v>3.9E-2</v>
      </c>
      <c r="N27" s="33">
        <v>3.9E-2</v>
      </c>
      <c r="O27" s="33">
        <v>3.9E-2</v>
      </c>
      <c r="P27" s="33">
        <v>3.9E-2</v>
      </c>
      <c r="Q27" s="33">
        <v>3.9E-2</v>
      </c>
      <c r="R27" s="33">
        <v>3.4000000000000002E-2</v>
      </c>
      <c r="S27" s="33">
        <v>3.9E-2</v>
      </c>
      <c r="T27" s="33">
        <v>3.4000000000000002E-2</v>
      </c>
    </row>
    <row r="28" spans="1:21" s="39" customFormat="1" x14ac:dyDescent="0.25">
      <c r="A28" s="39" t="s">
        <v>250</v>
      </c>
      <c r="C28" s="39" t="s">
        <v>348</v>
      </c>
      <c r="D28" s="17" t="s">
        <v>247</v>
      </c>
      <c r="E28" s="17">
        <v>3.9E-2</v>
      </c>
      <c r="F28" s="18">
        <f>$E28</f>
        <v>3.9E-2</v>
      </c>
      <c r="G28" s="18">
        <f t="shared" ref="G28:T28" si="0">$E28</f>
        <v>3.9E-2</v>
      </c>
      <c r="H28" s="18">
        <f t="shared" si="0"/>
        <v>3.9E-2</v>
      </c>
      <c r="I28" s="18">
        <f t="shared" si="0"/>
        <v>3.9E-2</v>
      </c>
      <c r="J28" s="18">
        <f t="shared" si="0"/>
        <v>3.9E-2</v>
      </c>
      <c r="K28" s="18">
        <f t="shared" si="0"/>
        <v>3.9E-2</v>
      </c>
      <c r="L28" s="18">
        <f t="shared" si="0"/>
        <v>3.9E-2</v>
      </c>
      <c r="M28" s="18">
        <f t="shared" si="0"/>
        <v>3.9E-2</v>
      </c>
      <c r="N28" s="18">
        <f t="shared" si="0"/>
        <v>3.9E-2</v>
      </c>
      <c r="O28" s="18">
        <f t="shared" si="0"/>
        <v>3.9E-2</v>
      </c>
      <c r="P28" s="18">
        <f t="shared" si="0"/>
        <v>3.9E-2</v>
      </c>
      <c r="Q28" s="18">
        <f t="shared" si="0"/>
        <v>3.9E-2</v>
      </c>
      <c r="R28" s="18">
        <f t="shared" si="0"/>
        <v>3.9E-2</v>
      </c>
      <c r="S28" s="18">
        <f t="shared" si="0"/>
        <v>3.9E-2</v>
      </c>
      <c r="T28" s="18">
        <f t="shared" si="0"/>
        <v>3.9E-2</v>
      </c>
      <c r="U28" s="39" t="s">
        <v>363</v>
      </c>
    </row>
    <row r="29" spans="1:21" s="39" customFormat="1" x14ac:dyDescent="0.25">
      <c r="A29" s="39" t="s">
        <v>250</v>
      </c>
      <c r="C29" s="39" t="s">
        <v>348</v>
      </c>
      <c r="D29" s="17" t="s">
        <v>248</v>
      </c>
      <c r="E29" s="17">
        <v>6.2E-2</v>
      </c>
      <c r="F29" s="18">
        <f t="shared" ref="F29:T30" si="1">$E29</f>
        <v>6.2E-2</v>
      </c>
      <c r="G29" s="18">
        <f t="shared" si="1"/>
        <v>6.2E-2</v>
      </c>
      <c r="H29" s="18">
        <f t="shared" si="1"/>
        <v>6.2E-2</v>
      </c>
      <c r="I29" s="18">
        <f t="shared" si="1"/>
        <v>6.2E-2</v>
      </c>
      <c r="J29" s="18">
        <f t="shared" si="1"/>
        <v>6.2E-2</v>
      </c>
      <c r="K29" s="18">
        <f t="shared" si="1"/>
        <v>6.2E-2</v>
      </c>
      <c r="L29" s="18">
        <f t="shared" si="1"/>
        <v>6.2E-2</v>
      </c>
      <c r="M29" s="18">
        <f t="shared" si="1"/>
        <v>6.2E-2</v>
      </c>
      <c r="N29" s="18">
        <f t="shared" si="1"/>
        <v>6.2E-2</v>
      </c>
      <c r="O29" s="18">
        <f t="shared" si="1"/>
        <v>6.2E-2</v>
      </c>
      <c r="P29" s="18">
        <f t="shared" si="1"/>
        <v>6.2E-2</v>
      </c>
      <c r="Q29" s="18">
        <f t="shared" si="1"/>
        <v>6.2E-2</v>
      </c>
      <c r="R29" s="18">
        <f t="shared" si="1"/>
        <v>6.2E-2</v>
      </c>
      <c r="S29" s="18">
        <f t="shared" si="1"/>
        <v>6.2E-2</v>
      </c>
      <c r="T29" s="18">
        <f t="shared" si="1"/>
        <v>6.2E-2</v>
      </c>
      <c r="U29" s="39" t="s">
        <v>363</v>
      </c>
    </row>
    <row r="30" spans="1:21" s="39" customFormat="1" x14ac:dyDescent="0.25">
      <c r="A30" s="39" t="s">
        <v>250</v>
      </c>
      <c r="C30" s="39" t="s">
        <v>348</v>
      </c>
      <c r="D30" s="17" t="s">
        <v>249</v>
      </c>
      <c r="E30" s="17">
        <v>4.8000000000000001E-2</v>
      </c>
      <c r="F30" s="18">
        <f t="shared" si="1"/>
        <v>4.8000000000000001E-2</v>
      </c>
      <c r="G30" s="18">
        <f t="shared" si="1"/>
        <v>4.8000000000000001E-2</v>
      </c>
      <c r="H30" s="18">
        <f t="shared" si="1"/>
        <v>4.8000000000000001E-2</v>
      </c>
      <c r="I30" s="18">
        <f t="shared" si="1"/>
        <v>4.8000000000000001E-2</v>
      </c>
      <c r="J30" s="18">
        <f t="shared" si="1"/>
        <v>4.8000000000000001E-2</v>
      </c>
      <c r="K30" s="18">
        <f t="shared" si="1"/>
        <v>4.8000000000000001E-2</v>
      </c>
      <c r="L30" s="18">
        <f t="shared" si="1"/>
        <v>4.8000000000000001E-2</v>
      </c>
      <c r="M30" s="18">
        <f t="shared" si="1"/>
        <v>4.8000000000000001E-2</v>
      </c>
      <c r="N30" s="18">
        <f t="shared" si="1"/>
        <v>4.8000000000000001E-2</v>
      </c>
      <c r="O30" s="18">
        <f t="shared" si="1"/>
        <v>4.8000000000000001E-2</v>
      </c>
      <c r="P30" s="18">
        <f t="shared" si="1"/>
        <v>4.8000000000000001E-2</v>
      </c>
      <c r="Q30" s="18">
        <f t="shared" si="1"/>
        <v>4.8000000000000001E-2</v>
      </c>
      <c r="R30" s="18">
        <f t="shared" si="1"/>
        <v>4.8000000000000001E-2</v>
      </c>
      <c r="S30" s="18">
        <f t="shared" si="1"/>
        <v>4.8000000000000001E-2</v>
      </c>
      <c r="T30" s="18">
        <f t="shared" si="1"/>
        <v>4.8000000000000001E-2</v>
      </c>
      <c r="U30" s="39" t="s">
        <v>363</v>
      </c>
    </row>
    <row r="31" spans="1:21" s="39" customFormat="1" x14ac:dyDescent="0.25">
      <c r="A31" s="39" t="s">
        <v>365</v>
      </c>
      <c r="C31" s="26"/>
    </row>
    <row r="32" spans="1:21" x14ac:dyDescent="0.25">
      <c r="A32" t="s">
        <v>250</v>
      </c>
      <c r="C32" s="39" t="s">
        <v>350</v>
      </c>
    </row>
    <row r="33" spans="1:16" s="39" customFormat="1" x14ac:dyDescent="0.25">
      <c r="A33" s="39" t="s">
        <v>250</v>
      </c>
    </row>
    <row r="34" spans="1:16" s="39" customFormat="1" x14ac:dyDescent="0.25">
      <c r="A34" s="39" t="s">
        <v>250</v>
      </c>
      <c r="C34" s="51" t="s">
        <v>291</v>
      </c>
      <c r="H34" s="52" t="s">
        <v>303</v>
      </c>
      <c r="M34" s="52" t="s">
        <v>304</v>
      </c>
    </row>
    <row r="35" spans="1:16" s="39" customFormat="1" x14ac:dyDescent="0.25">
      <c r="A35" s="39" t="s">
        <v>250</v>
      </c>
      <c r="C35" s="55" t="s">
        <v>354</v>
      </c>
      <c r="D35" s="51"/>
      <c r="E35" s="51"/>
      <c r="F35" s="52" t="s">
        <v>353</v>
      </c>
      <c r="G35" s="52"/>
      <c r="H35" s="55" t="s">
        <v>354</v>
      </c>
      <c r="I35" s="52"/>
      <c r="J35" s="52"/>
      <c r="K35" s="52" t="s">
        <v>353</v>
      </c>
      <c r="L35" s="52"/>
      <c r="M35" s="55" t="s">
        <v>354</v>
      </c>
      <c r="N35" s="52"/>
      <c r="O35" s="52"/>
      <c r="P35" s="52" t="s">
        <v>353</v>
      </c>
    </row>
    <row r="36" spans="1:16" s="39" customFormat="1" x14ac:dyDescent="0.25">
      <c r="A36" s="39" t="s">
        <v>365</v>
      </c>
      <c r="C36" s="26"/>
    </row>
    <row r="37" spans="1:16" s="39" customFormat="1" x14ac:dyDescent="0.25">
      <c r="A37" s="39" t="s">
        <v>250</v>
      </c>
      <c r="C37" s="39" t="s">
        <v>290</v>
      </c>
      <c r="F37" s="39">
        <v>0.17</v>
      </c>
      <c r="H37" s="39" t="s">
        <v>290</v>
      </c>
      <c r="K37" s="39">
        <v>0.17</v>
      </c>
      <c r="M37" s="39" t="s">
        <v>290</v>
      </c>
      <c r="P37" s="39">
        <v>0.17</v>
      </c>
    </row>
    <row r="38" spans="1:16" s="39" customFormat="1" x14ac:dyDescent="0.25">
      <c r="A38" s="39" t="s">
        <v>250</v>
      </c>
      <c r="C38" s="39" t="s">
        <v>293</v>
      </c>
      <c r="F38" s="42">
        <v>0.1</v>
      </c>
      <c r="H38" s="39" t="s">
        <v>299</v>
      </c>
      <c r="K38" s="39">
        <v>0.18</v>
      </c>
      <c r="M38" s="39" t="s">
        <v>305</v>
      </c>
      <c r="P38" s="42">
        <v>0</v>
      </c>
    </row>
    <row r="39" spans="1:16" s="39" customFormat="1" ht="18" x14ac:dyDescent="0.35">
      <c r="A39" s="39" t="s">
        <v>250</v>
      </c>
      <c r="C39" s="50" t="s">
        <v>340</v>
      </c>
      <c r="D39" s="50"/>
      <c r="E39" s="50"/>
      <c r="F39" s="50" t="s">
        <v>341</v>
      </c>
      <c r="H39" s="39" t="s">
        <v>300</v>
      </c>
      <c r="K39" s="39">
        <v>0.06</v>
      </c>
      <c r="M39" s="50" t="s">
        <v>340</v>
      </c>
      <c r="N39" s="50"/>
      <c r="O39" s="50"/>
      <c r="P39" s="50" t="s">
        <v>341</v>
      </c>
    </row>
    <row r="40" spans="1:16" s="39" customFormat="1" ht="18" x14ac:dyDescent="0.35">
      <c r="A40" s="39" t="s">
        <v>250</v>
      </c>
      <c r="C40" s="39" t="s">
        <v>294</v>
      </c>
      <c r="F40" s="39">
        <v>0.63</v>
      </c>
      <c r="H40" s="50" t="s">
        <v>340</v>
      </c>
      <c r="I40" s="50"/>
      <c r="J40" s="50"/>
      <c r="K40" s="50" t="s">
        <v>341</v>
      </c>
      <c r="M40" s="39" t="s">
        <v>306</v>
      </c>
      <c r="P40" s="42">
        <v>0</v>
      </c>
    </row>
    <row r="41" spans="1:16" s="39" customFormat="1" x14ac:dyDescent="0.25">
      <c r="A41" s="39" t="s">
        <v>250</v>
      </c>
      <c r="C41" s="39" t="s">
        <v>295</v>
      </c>
      <c r="F41" s="42">
        <v>0</v>
      </c>
      <c r="H41" s="39" t="s">
        <v>301</v>
      </c>
      <c r="K41" s="42">
        <v>0</v>
      </c>
      <c r="M41" s="39" t="s">
        <v>297</v>
      </c>
      <c r="P41" s="39">
        <v>0.92</v>
      </c>
    </row>
    <row r="42" spans="1:16" s="39" customFormat="1" x14ac:dyDescent="0.25">
      <c r="A42" s="39" t="s">
        <v>250</v>
      </c>
      <c r="C42" s="39" t="s">
        <v>296</v>
      </c>
      <c r="F42" s="42">
        <v>0</v>
      </c>
      <c r="H42" s="39" t="s">
        <v>297</v>
      </c>
      <c r="K42" s="39">
        <v>0.92</v>
      </c>
      <c r="M42" s="39" t="s">
        <v>307</v>
      </c>
      <c r="P42" s="42">
        <v>0.78</v>
      </c>
    </row>
    <row r="43" spans="1:16" s="39" customFormat="1" x14ac:dyDescent="0.25">
      <c r="A43" s="39" t="s">
        <v>250</v>
      </c>
      <c r="C43" s="39" t="s">
        <v>297</v>
      </c>
      <c r="F43" s="42">
        <v>0.92</v>
      </c>
      <c r="H43" s="39" t="s">
        <v>302</v>
      </c>
      <c r="K43" s="39">
        <v>0.62</v>
      </c>
      <c r="M43" s="39" t="s">
        <v>308</v>
      </c>
      <c r="P43" s="39">
        <v>2.08</v>
      </c>
    </row>
    <row r="44" spans="1:16" s="39" customFormat="1" x14ac:dyDescent="0.25">
      <c r="A44" s="39" t="s">
        <v>250</v>
      </c>
      <c r="C44" s="39" t="s">
        <v>298</v>
      </c>
      <c r="F44" s="42">
        <v>1.89</v>
      </c>
      <c r="H44" s="39" t="s">
        <v>292</v>
      </c>
      <c r="K44" s="52">
        <v>0.68</v>
      </c>
      <c r="M44" s="39" t="s">
        <v>309</v>
      </c>
      <c r="P44" s="52">
        <v>0.92</v>
      </c>
    </row>
    <row r="45" spans="1:16" s="52" customFormat="1" x14ac:dyDescent="0.25">
      <c r="A45" s="52" t="s">
        <v>250</v>
      </c>
      <c r="C45" s="52" t="s">
        <v>292</v>
      </c>
      <c r="F45" s="52">
        <v>0.62</v>
      </c>
      <c r="K45" s="54"/>
    </row>
    <row r="46" spans="1:16" s="39" customFormat="1" x14ac:dyDescent="0.25">
      <c r="A46" s="39" t="s">
        <v>352</v>
      </c>
    </row>
    <row r="47" spans="1:16" s="39" customFormat="1" x14ac:dyDescent="0.25">
      <c r="A47" s="39" t="s">
        <v>250</v>
      </c>
      <c r="C47" s="39" t="s">
        <v>351</v>
      </c>
      <c r="F47" s="42">
        <f>SUM(F37:F38,F40:F45)</f>
        <v>4.33</v>
      </c>
      <c r="K47" s="53">
        <f>SUM(K37:K39,K41:K44)</f>
        <v>2.6300000000000003</v>
      </c>
      <c r="P47" s="53">
        <f>SUM(P37:P38,P40:P44)</f>
        <v>4.87</v>
      </c>
    </row>
    <row r="48" spans="1:16" x14ac:dyDescent="0.25">
      <c r="A48" t="s">
        <v>250</v>
      </c>
    </row>
    <row r="49" spans="1:20" x14ac:dyDescent="0.25">
      <c r="A49" t="s">
        <v>250</v>
      </c>
      <c r="B49" s="39" t="s">
        <v>355</v>
      </c>
    </row>
    <row r="50" spans="1:20" s="39" customFormat="1" x14ac:dyDescent="0.25">
      <c r="A50" s="39" t="s">
        <v>250</v>
      </c>
      <c r="C50" s="49" t="s">
        <v>377</v>
      </c>
    </row>
    <row r="51" spans="1:20" x14ac:dyDescent="0.25">
      <c r="A51" t="s">
        <v>250</v>
      </c>
      <c r="C51" t="s">
        <v>269</v>
      </c>
      <c r="D51" s="19"/>
      <c r="E51" s="19"/>
      <c r="F51" s="19"/>
      <c r="G51" s="19"/>
      <c r="H51" s="19"/>
    </row>
    <row r="52" spans="1:20" x14ac:dyDescent="0.25">
      <c r="A52" t="s">
        <v>250</v>
      </c>
      <c r="C52" t="s">
        <v>270</v>
      </c>
    </row>
    <row r="53" spans="1:20" x14ac:dyDescent="0.25">
      <c r="A53" t="s">
        <v>250</v>
      </c>
      <c r="C53" t="s">
        <v>271</v>
      </c>
    </row>
    <row r="54" spans="1:20" x14ac:dyDescent="0.25">
      <c r="A54" t="s">
        <v>250</v>
      </c>
    </row>
    <row r="55" spans="1:20" s="39" customFormat="1" x14ac:dyDescent="0.25">
      <c r="A55" s="39" t="s">
        <v>250</v>
      </c>
    </row>
    <row r="56" spans="1:20" x14ac:dyDescent="0.25">
      <c r="A56" s="39" t="s">
        <v>366</v>
      </c>
    </row>
    <row r="57" spans="1:20" s="17" customFormat="1" x14ac:dyDescent="0.25">
      <c r="B57" s="2" t="str">
        <f>"TABLE "&amp;$C$4</f>
        <v>TABLE BaseEnvelopeEffRValue</v>
      </c>
    </row>
    <row r="58" spans="1:20" s="17" customFormat="1" x14ac:dyDescent="0.25">
      <c r="C58" s="17" t="s">
        <v>345</v>
      </c>
      <c r="D58" s="17" t="s">
        <v>243</v>
      </c>
      <c r="E58" s="17" t="s">
        <v>254</v>
      </c>
      <c r="F58" s="17" t="s">
        <v>254</v>
      </c>
      <c r="G58" s="17" t="s">
        <v>254</v>
      </c>
      <c r="H58" s="17" t="s">
        <v>254</v>
      </c>
      <c r="I58" s="17" t="s">
        <v>254</v>
      </c>
      <c r="J58" s="17" t="s">
        <v>254</v>
      </c>
      <c r="K58" s="17" t="s">
        <v>254</v>
      </c>
      <c r="L58" s="17" t="s">
        <v>254</v>
      </c>
      <c r="M58" s="17" t="s">
        <v>254</v>
      </c>
      <c r="N58" s="17" t="s">
        <v>254</v>
      </c>
      <c r="O58" s="17" t="s">
        <v>254</v>
      </c>
      <c r="P58" s="17" t="s">
        <v>254</v>
      </c>
      <c r="Q58" s="17" t="s">
        <v>254</v>
      </c>
      <c r="R58" s="17" t="s">
        <v>254</v>
      </c>
      <c r="S58" s="17" t="s">
        <v>254</v>
      </c>
      <c r="T58" s="17" t="s">
        <v>254</v>
      </c>
    </row>
    <row r="59" spans="1:20" s="17" customFormat="1" x14ac:dyDescent="0.25">
      <c r="C59" s="17" t="s">
        <v>244</v>
      </c>
      <c r="E59" s="17">
        <v>1</v>
      </c>
      <c r="F59" s="17">
        <v>2</v>
      </c>
      <c r="G59" s="17">
        <v>3</v>
      </c>
      <c r="H59" s="17">
        <v>4</v>
      </c>
      <c r="I59" s="17">
        <v>5</v>
      </c>
      <c r="J59" s="17">
        <v>6</v>
      </c>
      <c r="K59" s="17">
        <v>7</v>
      </c>
      <c r="L59" s="17">
        <v>8</v>
      </c>
      <c r="M59" s="17">
        <v>9</v>
      </c>
      <c r="N59" s="17">
        <v>10</v>
      </c>
      <c r="O59" s="17">
        <v>11</v>
      </c>
      <c r="P59" s="17">
        <v>12</v>
      </c>
      <c r="Q59" s="17">
        <v>13</v>
      </c>
      <c r="R59" s="17">
        <v>14</v>
      </c>
      <c r="S59" s="17">
        <v>15</v>
      </c>
      <c r="T59" s="17">
        <v>16</v>
      </c>
    </row>
    <row r="60" spans="1:20" s="17" customFormat="1" x14ac:dyDescent="0.25">
      <c r="C60" s="17" t="str">
        <f>C22</f>
        <v>NonResidential</v>
      </c>
      <c r="D60" s="17" t="str">
        <f>D22</f>
        <v>Roof</v>
      </c>
      <c r="E60" s="17">
        <f>ROUND((1/E22)-($F$47),3)</f>
        <v>16.077999999999999</v>
      </c>
      <c r="F60" s="17">
        <f t="shared" ref="F60:T60" si="2">ROUND((1/F22)-($F$47),3)</f>
        <v>21.311</v>
      </c>
      <c r="G60" s="17">
        <f t="shared" si="2"/>
        <v>21.311</v>
      </c>
      <c r="H60" s="17">
        <f t="shared" si="2"/>
        <v>21.311</v>
      </c>
      <c r="I60" s="17">
        <f t="shared" si="2"/>
        <v>16.077999999999999</v>
      </c>
      <c r="J60" s="17">
        <f t="shared" si="2"/>
        <v>9.0030000000000001</v>
      </c>
      <c r="K60" s="17">
        <f t="shared" si="2"/>
        <v>10.595000000000001</v>
      </c>
      <c r="L60" s="17">
        <f t="shared" si="2"/>
        <v>10.595000000000001</v>
      </c>
      <c r="M60" s="17">
        <f t="shared" si="2"/>
        <v>21.311</v>
      </c>
      <c r="N60" s="17">
        <f t="shared" si="2"/>
        <v>21.311</v>
      </c>
      <c r="O60" s="17">
        <f t="shared" si="2"/>
        <v>21.311</v>
      </c>
      <c r="P60" s="17">
        <f t="shared" si="2"/>
        <v>21.311</v>
      </c>
      <c r="Q60" s="17">
        <f t="shared" si="2"/>
        <v>21.311</v>
      </c>
      <c r="R60" s="17">
        <f t="shared" si="2"/>
        <v>21.311</v>
      </c>
      <c r="S60" s="17">
        <f t="shared" si="2"/>
        <v>21.311</v>
      </c>
      <c r="T60" s="17">
        <f t="shared" si="2"/>
        <v>21.311</v>
      </c>
    </row>
    <row r="61" spans="1:20" s="17" customFormat="1" x14ac:dyDescent="0.25">
      <c r="C61" s="17" t="str">
        <f t="shared" ref="C61:D61" si="3">C23</f>
        <v>NonResidential</v>
      </c>
      <c r="D61" s="17" t="str">
        <f t="shared" si="3"/>
        <v>Wall</v>
      </c>
      <c r="E61" s="17">
        <f>ROUND((1/E23)-$K$47,3)</f>
        <v>7.5739999999999998</v>
      </c>
      <c r="F61" s="17">
        <f t="shared" ref="F61:T61" si="4">ROUND((1/F23)-$K$47,3)</f>
        <v>13.499000000000001</v>
      </c>
      <c r="G61" s="17">
        <f t="shared" si="4"/>
        <v>9.5649999999999995</v>
      </c>
      <c r="H61" s="17">
        <f t="shared" si="4"/>
        <v>13.499000000000001</v>
      </c>
      <c r="I61" s="17">
        <f t="shared" si="4"/>
        <v>13.499000000000001</v>
      </c>
      <c r="J61" s="17">
        <f t="shared" si="4"/>
        <v>7.5739999999999998</v>
      </c>
      <c r="K61" s="17">
        <f t="shared" si="4"/>
        <v>7.5739999999999998</v>
      </c>
      <c r="L61" s="17">
        <f t="shared" si="4"/>
        <v>13.499000000000001</v>
      </c>
      <c r="M61" s="17">
        <f t="shared" si="4"/>
        <v>13.499000000000001</v>
      </c>
      <c r="N61" s="17">
        <f t="shared" si="4"/>
        <v>13.499000000000001</v>
      </c>
      <c r="O61" s="17">
        <f t="shared" si="4"/>
        <v>13.499000000000001</v>
      </c>
      <c r="P61" s="17">
        <f t="shared" si="4"/>
        <v>13.499000000000001</v>
      </c>
      <c r="Q61" s="17">
        <f t="shared" si="4"/>
        <v>13.499000000000001</v>
      </c>
      <c r="R61" s="17">
        <f t="shared" si="4"/>
        <v>13.499000000000001</v>
      </c>
      <c r="S61" s="17">
        <f t="shared" si="4"/>
        <v>13.499000000000001</v>
      </c>
      <c r="T61" s="17">
        <f t="shared" si="4"/>
        <v>13.499000000000001</v>
      </c>
    </row>
    <row r="62" spans="1:20" s="17" customFormat="1" x14ac:dyDescent="0.25">
      <c r="C62" s="17" t="str">
        <f t="shared" ref="C62:D62" si="5">C24</f>
        <v>NonResidential</v>
      </c>
      <c r="D62" s="17" t="str">
        <f t="shared" si="5"/>
        <v>Floor</v>
      </c>
      <c r="E62" s="17">
        <f>ROUND((1/E24)-($P$47),3)</f>
        <v>15.962999999999999</v>
      </c>
      <c r="F62" s="17">
        <f t="shared" ref="F62:T62" si="6">ROUND((1/F24)-($P$47),3)</f>
        <v>20.771000000000001</v>
      </c>
      <c r="G62" s="17">
        <f t="shared" si="6"/>
        <v>9.2149999999999999</v>
      </c>
      <c r="H62" s="17">
        <f t="shared" si="6"/>
        <v>9.2149999999999999</v>
      </c>
      <c r="I62" s="17">
        <f t="shared" si="6"/>
        <v>9.2149999999999999</v>
      </c>
      <c r="J62" s="17">
        <f t="shared" si="6"/>
        <v>9.2149999999999999</v>
      </c>
      <c r="K62" s="17">
        <f t="shared" si="6"/>
        <v>9.2149999999999999</v>
      </c>
      <c r="L62" s="17">
        <f t="shared" si="6"/>
        <v>9.2149999999999999</v>
      </c>
      <c r="M62" s="17">
        <f t="shared" si="6"/>
        <v>9.2149999999999999</v>
      </c>
      <c r="N62" s="17">
        <f t="shared" si="6"/>
        <v>9.2149999999999999</v>
      </c>
      <c r="O62" s="17">
        <f t="shared" si="6"/>
        <v>20.771000000000001</v>
      </c>
      <c r="P62" s="17">
        <f t="shared" si="6"/>
        <v>9.2149999999999999</v>
      </c>
      <c r="Q62" s="17">
        <f t="shared" si="6"/>
        <v>9.2149999999999999</v>
      </c>
      <c r="R62" s="17">
        <f t="shared" si="6"/>
        <v>20.771000000000001</v>
      </c>
      <c r="S62" s="17">
        <f t="shared" si="6"/>
        <v>20.771000000000001</v>
      </c>
      <c r="T62" s="17">
        <f t="shared" si="6"/>
        <v>20.771000000000001</v>
      </c>
    </row>
    <row r="63" spans="1:20" s="17" customFormat="1" x14ac:dyDescent="0.25">
      <c r="C63" s="17" t="str">
        <f t="shared" ref="C63:D63" si="7">C25</f>
        <v>Residential</v>
      </c>
      <c r="D63" s="17" t="str">
        <f t="shared" si="7"/>
        <v>Roof</v>
      </c>
      <c r="E63" s="17">
        <f>ROUND((1/E25)-($F$47),3)</f>
        <v>25.082000000000001</v>
      </c>
      <c r="F63" s="17">
        <f t="shared" ref="F63:T63" si="8">ROUND((1/F25)-($F$47),3)</f>
        <v>31.384</v>
      </c>
      <c r="G63" s="17">
        <f t="shared" si="8"/>
        <v>21.311</v>
      </c>
      <c r="H63" s="17">
        <f t="shared" si="8"/>
        <v>31.384</v>
      </c>
      <c r="I63" s="17">
        <f t="shared" si="8"/>
        <v>21.311</v>
      </c>
      <c r="J63" s="17">
        <f t="shared" si="8"/>
        <v>21.311</v>
      </c>
      <c r="K63" s="17">
        <f t="shared" si="8"/>
        <v>21.311</v>
      </c>
      <c r="L63" s="17">
        <f t="shared" si="8"/>
        <v>31.384</v>
      </c>
      <c r="M63" s="17">
        <f t="shared" si="8"/>
        <v>31.384</v>
      </c>
      <c r="N63" s="17">
        <f t="shared" si="8"/>
        <v>31.384</v>
      </c>
      <c r="O63" s="17">
        <f t="shared" si="8"/>
        <v>31.384</v>
      </c>
      <c r="P63" s="17">
        <f t="shared" si="8"/>
        <v>31.384</v>
      </c>
      <c r="Q63" s="17">
        <f t="shared" si="8"/>
        <v>31.384</v>
      </c>
      <c r="R63" s="17">
        <f t="shared" si="8"/>
        <v>31.384</v>
      </c>
      <c r="S63" s="17">
        <f t="shared" si="8"/>
        <v>31.384</v>
      </c>
      <c r="T63" s="17">
        <f t="shared" si="8"/>
        <v>31.384</v>
      </c>
    </row>
    <row r="64" spans="1:20" x14ac:dyDescent="0.25">
      <c r="C64" s="17" t="str">
        <f t="shared" ref="C64:D64" si="9">C26</f>
        <v>Residential</v>
      </c>
      <c r="D64" s="17" t="str">
        <f t="shared" si="9"/>
        <v>Wall</v>
      </c>
      <c r="E64" s="17">
        <f>ROUND((1/E26)-$K$47,3)</f>
        <v>6.8940000000000001</v>
      </c>
      <c r="F64" s="17">
        <f t="shared" ref="F64:T64" si="10">ROUND((1/F26)-$K$47,3)</f>
        <v>6.8940000000000001</v>
      </c>
      <c r="G64" s="17">
        <f t="shared" si="10"/>
        <v>6.8940000000000001</v>
      </c>
      <c r="H64" s="17">
        <f t="shared" si="10"/>
        <v>6.8940000000000001</v>
      </c>
      <c r="I64" s="17">
        <f t="shared" si="10"/>
        <v>6.8940000000000001</v>
      </c>
      <c r="J64" s="17">
        <f t="shared" si="10"/>
        <v>6.8940000000000001</v>
      </c>
      <c r="K64" s="17">
        <f t="shared" si="10"/>
        <v>6.8940000000000001</v>
      </c>
      <c r="L64" s="17">
        <f t="shared" si="10"/>
        <v>6.8940000000000001</v>
      </c>
      <c r="M64" s="17">
        <f t="shared" si="10"/>
        <v>6.8940000000000001</v>
      </c>
      <c r="N64" s="17">
        <f t="shared" si="10"/>
        <v>6.8940000000000001</v>
      </c>
      <c r="O64" s="17">
        <f t="shared" si="10"/>
        <v>6.8940000000000001</v>
      </c>
      <c r="P64" s="17">
        <f t="shared" si="10"/>
        <v>6.8940000000000001</v>
      </c>
      <c r="Q64" s="17">
        <f t="shared" si="10"/>
        <v>6.8940000000000001</v>
      </c>
      <c r="R64" s="17">
        <f t="shared" si="10"/>
        <v>6.8940000000000001</v>
      </c>
      <c r="S64" s="17">
        <f t="shared" si="10"/>
        <v>6.8940000000000001</v>
      </c>
      <c r="T64" s="17">
        <f t="shared" si="10"/>
        <v>6.8940000000000001</v>
      </c>
    </row>
    <row r="65" spans="2:20" x14ac:dyDescent="0.25">
      <c r="C65" s="17" t="str">
        <f t="shared" ref="C65:D65" si="11">C27</f>
        <v>Residential</v>
      </c>
      <c r="D65" s="17" t="str">
        <f t="shared" si="11"/>
        <v>Floor</v>
      </c>
      <c r="E65" s="17">
        <f>ROUND((1/E27)-($P$47),3)</f>
        <v>24.542000000000002</v>
      </c>
      <c r="F65" s="17">
        <f t="shared" ref="F65:T65" si="12">ROUND((1/F27)-($P$47),3)</f>
        <v>24.542000000000002</v>
      </c>
      <c r="G65" s="17">
        <f t="shared" si="12"/>
        <v>20.771000000000001</v>
      </c>
      <c r="H65" s="17">
        <f t="shared" si="12"/>
        <v>20.771000000000001</v>
      </c>
      <c r="I65" s="17">
        <f t="shared" si="12"/>
        <v>20.771000000000001</v>
      </c>
      <c r="J65" s="17">
        <f t="shared" si="12"/>
        <v>20.771000000000001</v>
      </c>
      <c r="K65" s="17">
        <f t="shared" si="12"/>
        <v>9.2149999999999999</v>
      </c>
      <c r="L65" s="17">
        <f t="shared" si="12"/>
        <v>20.771000000000001</v>
      </c>
      <c r="M65" s="17">
        <f t="shared" si="12"/>
        <v>20.771000000000001</v>
      </c>
      <c r="N65" s="17">
        <f t="shared" si="12"/>
        <v>20.771000000000001</v>
      </c>
      <c r="O65" s="17">
        <f t="shared" si="12"/>
        <v>20.771000000000001</v>
      </c>
      <c r="P65" s="17">
        <f t="shared" si="12"/>
        <v>20.771000000000001</v>
      </c>
      <c r="Q65" s="17">
        <f t="shared" si="12"/>
        <v>20.771000000000001</v>
      </c>
      <c r="R65" s="17">
        <f t="shared" si="12"/>
        <v>24.542000000000002</v>
      </c>
      <c r="S65" s="17">
        <f t="shared" si="12"/>
        <v>20.771000000000001</v>
      </c>
      <c r="T65" s="17">
        <f t="shared" si="12"/>
        <v>24.542000000000002</v>
      </c>
    </row>
    <row r="66" spans="2:20" x14ac:dyDescent="0.25">
      <c r="C66" s="17" t="str">
        <f t="shared" ref="C66:D66" si="13">C28</f>
        <v>RelocClass</v>
      </c>
      <c r="D66" s="17" t="str">
        <f t="shared" si="13"/>
        <v>Roof</v>
      </c>
      <c r="E66" s="17">
        <f>ROUND((1/E28)-($F$47),3)</f>
        <v>21.311</v>
      </c>
      <c r="F66" s="17">
        <f t="shared" ref="F66:T66" si="14">ROUND((1/F28)-($F$47),3)</f>
        <v>21.311</v>
      </c>
      <c r="G66" s="17">
        <f t="shared" si="14"/>
        <v>21.311</v>
      </c>
      <c r="H66" s="17">
        <f t="shared" si="14"/>
        <v>21.311</v>
      </c>
      <c r="I66" s="17">
        <f t="shared" si="14"/>
        <v>21.311</v>
      </c>
      <c r="J66" s="17">
        <f t="shared" si="14"/>
        <v>21.311</v>
      </c>
      <c r="K66" s="17">
        <f t="shared" si="14"/>
        <v>21.311</v>
      </c>
      <c r="L66" s="17">
        <f t="shared" si="14"/>
        <v>21.311</v>
      </c>
      <c r="M66" s="17">
        <f t="shared" si="14"/>
        <v>21.311</v>
      </c>
      <c r="N66" s="17">
        <f t="shared" si="14"/>
        <v>21.311</v>
      </c>
      <c r="O66" s="17">
        <f t="shared" si="14"/>
        <v>21.311</v>
      </c>
      <c r="P66" s="17">
        <f t="shared" si="14"/>
        <v>21.311</v>
      </c>
      <c r="Q66" s="17">
        <f t="shared" si="14"/>
        <v>21.311</v>
      </c>
      <c r="R66" s="17">
        <f t="shared" si="14"/>
        <v>21.311</v>
      </c>
      <c r="S66" s="17">
        <f t="shared" si="14"/>
        <v>21.311</v>
      </c>
      <c r="T66" s="17">
        <f t="shared" si="14"/>
        <v>21.311</v>
      </c>
    </row>
    <row r="67" spans="2:20" x14ac:dyDescent="0.25">
      <c r="C67" s="17" t="str">
        <f t="shared" ref="C67:D67" si="15">C29</f>
        <v>RelocClass</v>
      </c>
      <c r="D67" s="17" t="str">
        <f t="shared" si="15"/>
        <v>Wall</v>
      </c>
      <c r="E67" s="17">
        <f>ROUND((1/E29)-$K$47,3)</f>
        <v>13.499000000000001</v>
      </c>
      <c r="F67" s="17">
        <f t="shared" ref="F67:T67" si="16">ROUND((1/F29)-$K$47,3)</f>
        <v>13.499000000000001</v>
      </c>
      <c r="G67" s="17">
        <f t="shared" si="16"/>
        <v>13.499000000000001</v>
      </c>
      <c r="H67" s="17">
        <f t="shared" si="16"/>
        <v>13.499000000000001</v>
      </c>
      <c r="I67" s="17">
        <f t="shared" si="16"/>
        <v>13.499000000000001</v>
      </c>
      <c r="J67" s="17">
        <f t="shared" si="16"/>
        <v>13.499000000000001</v>
      </c>
      <c r="K67" s="17">
        <f t="shared" si="16"/>
        <v>13.499000000000001</v>
      </c>
      <c r="L67" s="17">
        <f t="shared" si="16"/>
        <v>13.499000000000001</v>
      </c>
      <c r="M67" s="17">
        <f t="shared" si="16"/>
        <v>13.499000000000001</v>
      </c>
      <c r="N67" s="17">
        <f t="shared" si="16"/>
        <v>13.499000000000001</v>
      </c>
      <c r="O67" s="17">
        <f t="shared" si="16"/>
        <v>13.499000000000001</v>
      </c>
      <c r="P67" s="17">
        <f t="shared" si="16"/>
        <v>13.499000000000001</v>
      </c>
      <c r="Q67" s="17">
        <f t="shared" si="16"/>
        <v>13.499000000000001</v>
      </c>
      <c r="R67" s="17">
        <f t="shared" si="16"/>
        <v>13.499000000000001</v>
      </c>
      <c r="S67" s="17">
        <f t="shared" si="16"/>
        <v>13.499000000000001</v>
      </c>
      <c r="T67" s="17">
        <f t="shared" si="16"/>
        <v>13.499000000000001</v>
      </c>
    </row>
    <row r="68" spans="2:20" x14ac:dyDescent="0.25">
      <c r="C68" s="17" t="str">
        <f t="shared" ref="C68:D68" si="17">C30</f>
        <v>RelocClass</v>
      </c>
      <c r="D68" s="17" t="str">
        <f t="shared" si="17"/>
        <v>Floor</v>
      </c>
      <c r="E68" s="17">
        <f>ROUND((1/E30)-($P$47),3)</f>
        <v>15.962999999999999</v>
      </c>
      <c r="F68" s="17">
        <f t="shared" ref="F68:T68" si="18">ROUND((1/F30)-($P$47),3)</f>
        <v>15.962999999999999</v>
      </c>
      <c r="G68" s="17">
        <f t="shared" si="18"/>
        <v>15.962999999999999</v>
      </c>
      <c r="H68" s="17">
        <f t="shared" si="18"/>
        <v>15.962999999999999</v>
      </c>
      <c r="I68" s="17">
        <f t="shared" si="18"/>
        <v>15.962999999999999</v>
      </c>
      <c r="J68" s="17">
        <f t="shared" si="18"/>
        <v>15.962999999999999</v>
      </c>
      <c r="K68" s="17">
        <f t="shared" si="18"/>
        <v>15.962999999999999</v>
      </c>
      <c r="L68" s="17">
        <f t="shared" si="18"/>
        <v>15.962999999999999</v>
      </c>
      <c r="M68" s="17">
        <f t="shared" si="18"/>
        <v>15.962999999999999</v>
      </c>
      <c r="N68" s="17">
        <f t="shared" si="18"/>
        <v>15.962999999999999</v>
      </c>
      <c r="O68" s="17">
        <f t="shared" si="18"/>
        <v>15.962999999999999</v>
      </c>
      <c r="P68" s="17">
        <f t="shared" si="18"/>
        <v>15.962999999999999</v>
      </c>
      <c r="Q68" s="17">
        <f t="shared" si="18"/>
        <v>15.962999999999999</v>
      </c>
      <c r="R68" s="17">
        <f t="shared" si="18"/>
        <v>15.962999999999999</v>
      </c>
      <c r="S68" s="17">
        <f t="shared" si="18"/>
        <v>15.962999999999999</v>
      </c>
      <c r="T68" s="17">
        <f t="shared" si="18"/>
        <v>15.962999999999999</v>
      </c>
    </row>
    <row r="69" spans="2:20" x14ac:dyDescent="0.25">
      <c r="B69" s="17" t="s">
        <v>245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5" tint="-0.499984740745262"/>
  </sheetPr>
  <dimension ref="A1:K62"/>
  <sheetViews>
    <sheetView zoomScale="115" zoomScaleNormal="115" workbookViewId="0">
      <selection activeCell="B1" sqref="B1"/>
    </sheetView>
  </sheetViews>
  <sheetFormatPr defaultRowHeight="15" x14ac:dyDescent="0.25"/>
  <cols>
    <col min="1" max="1" width="2.140625" style="33" customWidth="1"/>
    <col min="2" max="2" width="3.28515625" style="33" customWidth="1"/>
    <col min="3" max="3" width="12.5703125" style="33" customWidth="1"/>
    <col min="4" max="4" width="23.42578125" style="33" customWidth="1"/>
    <col min="5" max="5" width="34.140625" style="33" customWidth="1"/>
    <col min="6" max="6" width="15.28515625" style="33" customWidth="1"/>
    <col min="7" max="7" width="12.7109375" style="33" customWidth="1"/>
    <col min="8" max="8" width="27" style="33" customWidth="1"/>
    <col min="9" max="9" width="18.28515625" style="33" customWidth="1"/>
    <col min="10" max="10" width="27" style="33" customWidth="1"/>
    <col min="11" max="11" width="9.140625" style="33" customWidth="1"/>
    <col min="12" max="16384" width="9.140625" style="33"/>
  </cols>
  <sheetData>
    <row r="1" spans="1:6" s="39" customFormat="1" x14ac:dyDescent="0.25">
      <c r="A1" s="39" t="s">
        <v>250</v>
      </c>
      <c r="B1" s="39" t="s">
        <v>924</v>
      </c>
    </row>
    <row r="2" spans="1:6" s="39" customFormat="1" x14ac:dyDescent="0.25">
      <c r="A2" s="39" t="s">
        <v>250</v>
      </c>
    </row>
    <row r="3" spans="1:6" s="39" customFormat="1" x14ac:dyDescent="0.25">
      <c r="A3" s="39" t="s">
        <v>250</v>
      </c>
      <c r="B3" s="39" t="s">
        <v>357</v>
      </c>
    </row>
    <row r="4" spans="1:6" s="39" customFormat="1" x14ac:dyDescent="0.25">
      <c r="A4" s="39" t="s">
        <v>250</v>
      </c>
      <c r="C4" s="39" t="s">
        <v>571</v>
      </c>
    </row>
    <row r="5" spans="1:6" s="39" customFormat="1" x14ac:dyDescent="0.25">
      <c r="A5" s="39" t="s">
        <v>250</v>
      </c>
    </row>
    <row r="6" spans="1:6" s="39" customFormat="1" x14ac:dyDescent="0.25">
      <c r="A6" s="39" t="s">
        <v>250</v>
      </c>
      <c r="B6" s="39" t="s">
        <v>358</v>
      </c>
    </row>
    <row r="7" spans="1:6" s="39" customFormat="1" x14ac:dyDescent="0.25">
      <c r="A7" s="39" t="s">
        <v>250</v>
      </c>
      <c r="C7" s="39" t="s">
        <v>263</v>
      </c>
      <c r="D7" s="39" t="s">
        <v>264</v>
      </c>
      <c r="E7" s="39" t="s">
        <v>265</v>
      </c>
    </row>
    <row r="8" spans="1:6" x14ac:dyDescent="0.25">
      <c r="A8" s="33" t="s">
        <v>250</v>
      </c>
      <c r="C8" s="32">
        <v>41511</v>
      </c>
      <c r="D8" s="33" t="s">
        <v>387</v>
      </c>
      <c r="E8" s="33" t="s">
        <v>266</v>
      </c>
    </row>
    <row r="9" spans="1:6" x14ac:dyDescent="0.25">
      <c r="A9" s="33" t="s">
        <v>250</v>
      </c>
      <c r="C9" s="32"/>
    </row>
    <row r="10" spans="1:6" s="39" customFormat="1" x14ac:dyDescent="0.25">
      <c r="A10" s="39" t="s">
        <v>250</v>
      </c>
      <c r="B10" s="39" t="s">
        <v>359</v>
      </c>
    </row>
    <row r="11" spans="1:6" x14ac:dyDescent="0.25">
      <c r="A11" s="33" t="s">
        <v>250</v>
      </c>
      <c r="C11" s="33" t="s">
        <v>382</v>
      </c>
    </row>
    <row r="12" spans="1:6" x14ac:dyDescent="0.25">
      <c r="A12" s="33" t="s">
        <v>250</v>
      </c>
      <c r="C12" s="33" t="s">
        <v>380</v>
      </c>
    </row>
    <row r="13" spans="1:6" x14ac:dyDescent="0.25">
      <c r="A13" s="33" t="s">
        <v>250</v>
      </c>
    </row>
    <row r="14" spans="1:6" s="39" customFormat="1" x14ac:dyDescent="0.25">
      <c r="A14" s="39" t="s">
        <v>250</v>
      </c>
      <c r="B14" s="39" t="s">
        <v>356</v>
      </c>
    </row>
    <row r="15" spans="1:6" x14ac:dyDescent="0.25">
      <c r="A15" s="33" t="s">
        <v>250</v>
      </c>
      <c r="C15" s="33" t="s">
        <v>383</v>
      </c>
      <c r="F15" s="31"/>
    </row>
    <row r="16" spans="1:6" x14ac:dyDescent="0.25">
      <c r="A16" s="33" t="s">
        <v>250</v>
      </c>
      <c r="C16" s="33" t="s">
        <v>384</v>
      </c>
      <c r="F16" s="31"/>
    </row>
    <row r="17" spans="1:10" x14ac:dyDescent="0.25">
      <c r="A17" s="33" t="s">
        <v>250</v>
      </c>
      <c r="F17" s="31"/>
    </row>
    <row r="18" spans="1:10" s="39" customFormat="1" x14ac:dyDescent="0.25">
      <c r="A18" s="39" t="s">
        <v>250</v>
      </c>
      <c r="B18" s="39" t="s">
        <v>355</v>
      </c>
    </row>
    <row r="19" spans="1:10" x14ac:dyDescent="0.25">
      <c r="A19" s="33" t="s">
        <v>250</v>
      </c>
      <c r="C19" s="33" t="s">
        <v>809</v>
      </c>
      <c r="D19" s="30"/>
      <c r="E19" s="30"/>
      <c r="F19" s="30"/>
      <c r="G19" s="30"/>
      <c r="H19" s="30"/>
    </row>
    <row r="20" spans="1:10" x14ac:dyDescent="0.25">
      <c r="A20" s="33" t="s">
        <v>250</v>
      </c>
      <c r="F20" s="31"/>
    </row>
    <row r="21" spans="1:10" s="39" customFormat="1" x14ac:dyDescent="0.25">
      <c r="A21" s="39" t="s">
        <v>366</v>
      </c>
    </row>
    <row r="22" spans="1:10" s="151" customFormat="1" x14ac:dyDescent="0.25">
      <c r="A22" s="145"/>
      <c r="B22" s="140" t="str">
        <f>"TABLE "&amp;$C$4</f>
        <v>TABLE UnitaryACHPMinEffReq</v>
      </c>
    </row>
    <row r="23" spans="1:10" s="145" customFormat="1" x14ac:dyDescent="0.25">
      <c r="C23" s="145" t="s">
        <v>559</v>
      </c>
      <c r="D23" s="145" t="s">
        <v>572</v>
      </c>
      <c r="E23" s="111" t="s">
        <v>569</v>
      </c>
      <c r="F23" s="111" t="s">
        <v>280</v>
      </c>
      <c r="G23" s="145" t="s">
        <v>11</v>
      </c>
      <c r="H23" s="145" t="s">
        <v>560</v>
      </c>
      <c r="I23" s="145" t="s">
        <v>15</v>
      </c>
      <c r="J23" s="145" t="s">
        <v>561</v>
      </c>
    </row>
    <row r="24" spans="1:10" s="151" customFormat="1" x14ac:dyDescent="0.25">
      <c r="C24" s="151" t="s">
        <v>550</v>
      </c>
      <c r="D24" s="153" t="s">
        <v>349</v>
      </c>
      <c r="E24" s="153" t="s">
        <v>570</v>
      </c>
      <c r="F24" s="151" t="s">
        <v>562</v>
      </c>
      <c r="G24" s="150" t="s">
        <v>259</v>
      </c>
      <c r="H24" s="151" t="s">
        <v>568</v>
      </c>
      <c r="I24" s="150" t="s">
        <v>259</v>
      </c>
      <c r="J24" s="151" t="s">
        <v>259</v>
      </c>
    </row>
    <row r="25" spans="1:10" s="151" customFormat="1" x14ac:dyDescent="0.25">
      <c r="C25" s="151" t="s">
        <v>550</v>
      </c>
      <c r="D25" s="153" t="s">
        <v>349</v>
      </c>
      <c r="E25" s="153" t="s">
        <v>570</v>
      </c>
      <c r="F25" s="151" t="s">
        <v>554</v>
      </c>
      <c r="G25" s="150">
        <v>11.2</v>
      </c>
      <c r="H25" s="151" t="s">
        <v>564</v>
      </c>
      <c r="I25" s="150" t="s">
        <v>259</v>
      </c>
      <c r="J25" s="151" t="s">
        <v>259</v>
      </c>
    </row>
    <row r="26" spans="1:10" s="151" customFormat="1" x14ac:dyDescent="0.25">
      <c r="C26" s="151" t="s">
        <v>550</v>
      </c>
      <c r="D26" s="153" t="s">
        <v>349</v>
      </c>
      <c r="E26" s="153" t="s">
        <v>570</v>
      </c>
      <c r="F26" s="151" t="s">
        <v>553</v>
      </c>
      <c r="G26" s="150">
        <v>11</v>
      </c>
      <c r="H26" s="151" t="s">
        <v>564</v>
      </c>
      <c r="I26" s="150" t="s">
        <v>259</v>
      </c>
      <c r="J26" s="151" t="s">
        <v>259</v>
      </c>
    </row>
    <row r="27" spans="1:10" s="151" customFormat="1" x14ac:dyDescent="0.25">
      <c r="C27" s="151" t="s">
        <v>550</v>
      </c>
      <c r="D27" s="153" t="s">
        <v>349</v>
      </c>
      <c r="E27" s="153" t="s">
        <v>570</v>
      </c>
      <c r="F27" s="151" t="s">
        <v>556</v>
      </c>
      <c r="G27" s="150">
        <v>10</v>
      </c>
      <c r="H27" s="151" t="s">
        <v>564</v>
      </c>
      <c r="I27" s="150" t="s">
        <v>259</v>
      </c>
      <c r="J27" s="151" t="s">
        <v>259</v>
      </c>
    </row>
    <row r="28" spans="1:10" s="151" customFormat="1" x14ac:dyDescent="0.25">
      <c r="C28" s="151" t="s">
        <v>550</v>
      </c>
      <c r="D28" s="153" t="s">
        <v>349</v>
      </c>
      <c r="E28" s="153" t="s">
        <v>570</v>
      </c>
      <c r="F28" s="151" t="s">
        <v>555</v>
      </c>
      <c r="G28" s="150">
        <v>9.6999999999999993</v>
      </c>
      <c r="H28" s="151" t="s">
        <v>564</v>
      </c>
      <c r="I28" s="150" t="s">
        <v>259</v>
      </c>
      <c r="J28" s="151" t="s">
        <v>259</v>
      </c>
    </row>
    <row r="29" spans="1:10" s="151" customFormat="1" x14ac:dyDescent="0.25">
      <c r="C29" s="151" t="s">
        <v>550</v>
      </c>
      <c r="D29" s="151" t="s">
        <v>349</v>
      </c>
      <c r="E29" s="153" t="s">
        <v>547</v>
      </c>
      <c r="F29" s="151" t="s">
        <v>565</v>
      </c>
      <c r="G29" s="155">
        <v>12.1</v>
      </c>
      <c r="H29" s="151" t="s">
        <v>566</v>
      </c>
      <c r="I29" s="150" t="s">
        <v>259</v>
      </c>
      <c r="J29" s="151" t="s">
        <v>259</v>
      </c>
    </row>
    <row r="30" spans="1:10" s="151" customFormat="1" x14ac:dyDescent="0.25">
      <c r="C30" s="151" t="s">
        <v>550</v>
      </c>
      <c r="D30" s="151" t="s">
        <v>349</v>
      </c>
      <c r="E30" s="153" t="s">
        <v>547</v>
      </c>
      <c r="F30" s="151" t="s">
        <v>562</v>
      </c>
      <c r="G30" s="155">
        <v>12.1</v>
      </c>
      <c r="H30" s="151" t="s">
        <v>566</v>
      </c>
      <c r="I30" s="150" t="s">
        <v>259</v>
      </c>
      <c r="J30" s="151" t="s">
        <v>259</v>
      </c>
    </row>
    <row r="31" spans="1:10" s="151" customFormat="1" x14ac:dyDescent="0.25">
      <c r="C31" s="151" t="s">
        <v>550</v>
      </c>
      <c r="D31" s="151" t="s">
        <v>349</v>
      </c>
      <c r="E31" s="153" t="s">
        <v>547</v>
      </c>
      <c r="F31" s="151" t="s">
        <v>554</v>
      </c>
      <c r="G31" s="150">
        <v>12.1</v>
      </c>
      <c r="H31" s="151" t="s">
        <v>564</v>
      </c>
      <c r="I31" s="150" t="s">
        <v>259</v>
      </c>
      <c r="J31" s="151" t="s">
        <v>259</v>
      </c>
    </row>
    <row r="32" spans="1:10" s="151" customFormat="1" x14ac:dyDescent="0.25">
      <c r="C32" s="151" t="s">
        <v>550</v>
      </c>
      <c r="D32" s="151" t="s">
        <v>349</v>
      </c>
      <c r="E32" s="153" t="s">
        <v>547</v>
      </c>
      <c r="F32" s="151" t="s">
        <v>553</v>
      </c>
      <c r="G32" s="150">
        <v>12.5</v>
      </c>
      <c r="H32" s="151" t="s">
        <v>564</v>
      </c>
      <c r="I32" s="150" t="s">
        <v>259</v>
      </c>
      <c r="J32" s="151" t="s">
        <v>259</v>
      </c>
    </row>
    <row r="33" spans="3:11" s="151" customFormat="1" x14ac:dyDescent="0.25">
      <c r="C33" s="151" t="s">
        <v>550</v>
      </c>
      <c r="D33" s="151" t="s">
        <v>349</v>
      </c>
      <c r="E33" s="153" t="s">
        <v>547</v>
      </c>
      <c r="F33" s="151" t="s">
        <v>556</v>
      </c>
      <c r="G33" s="150">
        <v>12.4</v>
      </c>
      <c r="H33" s="151" t="s">
        <v>564</v>
      </c>
      <c r="I33" s="150" t="s">
        <v>259</v>
      </c>
      <c r="J33" s="151" t="s">
        <v>259</v>
      </c>
    </row>
    <row r="34" spans="3:11" s="151" customFormat="1" x14ac:dyDescent="0.25">
      <c r="C34" s="151" t="s">
        <v>550</v>
      </c>
      <c r="D34" s="151" t="s">
        <v>349</v>
      </c>
      <c r="E34" s="153" t="s">
        <v>547</v>
      </c>
      <c r="F34" s="151" t="s">
        <v>555</v>
      </c>
      <c r="G34" s="150">
        <v>12.2</v>
      </c>
      <c r="H34" s="151" t="s">
        <v>564</v>
      </c>
      <c r="I34" s="150" t="s">
        <v>259</v>
      </c>
      <c r="J34" s="151" t="s">
        <v>259</v>
      </c>
    </row>
    <row r="35" spans="3:11" s="151" customFormat="1" x14ac:dyDescent="0.25">
      <c r="C35" s="151" t="s">
        <v>550</v>
      </c>
      <c r="D35" s="151" t="s">
        <v>349</v>
      </c>
      <c r="E35" s="153" t="s">
        <v>549</v>
      </c>
      <c r="F35" s="151" t="s">
        <v>562</v>
      </c>
      <c r="G35" s="150">
        <v>12.1</v>
      </c>
      <c r="H35" s="151" t="s">
        <v>563</v>
      </c>
      <c r="I35" s="150" t="s">
        <v>259</v>
      </c>
      <c r="J35" s="151" t="s">
        <v>259</v>
      </c>
    </row>
    <row r="36" spans="3:11" s="151" customFormat="1" x14ac:dyDescent="0.25">
      <c r="C36" s="151" t="s">
        <v>550</v>
      </c>
      <c r="D36" s="151" t="s">
        <v>349</v>
      </c>
      <c r="E36" s="153" t="s">
        <v>549</v>
      </c>
      <c r="F36" s="151" t="s">
        <v>554</v>
      </c>
      <c r="G36" s="150">
        <v>12.1</v>
      </c>
      <c r="H36" s="151" t="s">
        <v>564</v>
      </c>
      <c r="I36" s="150" t="s">
        <v>259</v>
      </c>
      <c r="J36" s="151" t="s">
        <v>259</v>
      </c>
    </row>
    <row r="37" spans="3:11" s="151" customFormat="1" x14ac:dyDescent="0.25">
      <c r="C37" s="151" t="s">
        <v>550</v>
      </c>
      <c r="D37" s="151" t="s">
        <v>349</v>
      </c>
      <c r="E37" s="153" t="s">
        <v>549</v>
      </c>
      <c r="F37" s="151" t="s">
        <v>553</v>
      </c>
      <c r="G37" s="150">
        <v>12</v>
      </c>
      <c r="H37" s="151" t="s">
        <v>564</v>
      </c>
      <c r="I37" s="150" t="s">
        <v>259</v>
      </c>
      <c r="J37" s="151" t="s">
        <v>259</v>
      </c>
    </row>
    <row r="38" spans="3:11" s="151" customFormat="1" x14ac:dyDescent="0.25">
      <c r="C38" s="151" t="s">
        <v>550</v>
      </c>
      <c r="D38" s="151" t="s">
        <v>349</v>
      </c>
      <c r="E38" s="153" t="s">
        <v>549</v>
      </c>
      <c r="F38" s="151" t="s">
        <v>556</v>
      </c>
      <c r="G38" s="150">
        <v>11.9</v>
      </c>
      <c r="H38" s="151" t="s">
        <v>564</v>
      </c>
      <c r="I38" s="150" t="s">
        <v>259</v>
      </c>
      <c r="J38" s="151" t="s">
        <v>259</v>
      </c>
    </row>
    <row r="39" spans="3:11" s="151" customFormat="1" x14ac:dyDescent="0.25">
      <c r="C39" s="151" t="s">
        <v>550</v>
      </c>
      <c r="D39" s="151" t="s">
        <v>349</v>
      </c>
      <c r="E39" s="153" t="s">
        <v>549</v>
      </c>
      <c r="F39" s="151" t="s">
        <v>555</v>
      </c>
      <c r="G39" s="150">
        <v>11.7</v>
      </c>
      <c r="H39" s="151" t="s">
        <v>564</v>
      </c>
      <c r="I39" s="150" t="s">
        <v>259</v>
      </c>
      <c r="J39" s="151" t="s">
        <v>259</v>
      </c>
    </row>
    <row r="40" spans="3:11" s="151" customFormat="1" x14ac:dyDescent="0.25">
      <c r="C40" s="151" t="s">
        <v>551</v>
      </c>
      <c r="D40" s="151" t="s">
        <v>349</v>
      </c>
      <c r="E40" s="153" t="s">
        <v>570</v>
      </c>
      <c r="F40" s="151" t="s">
        <v>562</v>
      </c>
      <c r="G40" s="150" t="s">
        <v>259</v>
      </c>
      <c r="H40" s="151" t="s">
        <v>568</v>
      </c>
      <c r="I40" s="150" t="s">
        <v>259</v>
      </c>
      <c r="J40" s="151" t="s">
        <v>568</v>
      </c>
    </row>
    <row r="41" spans="3:11" s="151" customFormat="1" x14ac:dyDescent="0.25">
      <c r="C41" s="151" t="s">
        <v>551</v>
      </c>
      <c r="D41" s="151" t="s">
        <v>349</v>
      </c>
      <c r="E41" s="153" t="s">
        <v>570</v>
      </c>
      <c r="F41" s="151" t="s">
        <v>554</v>
      </c>
      <c r="G41" s="150">
        <v>11</v>
      </c>
      <c r="H41" s="151" t="s">
        <v>567</v>
      </c>
      <c r="I41" s="152">
        <v>3.3</v>
      </c>
      <c r="J41" s="151" t="s">
        <v>567</v>
      </c>
      <c r="K41" s="152"/>
    </row>
    <row r="42" spans="3:11" s="151" customFormat="1" x14ac:dyDescent="0.25">
      <c r="C42" s="151" t="s">
        <v>551</v>
      </c>
      <c r="D42" s="151" t="s">
        <v>349</v>
      </c>
      <c r="E42" s="153" t="s">
        <v>570</v>
      </c>
      <c r="F42" s="151" t="s">
        <v>553</v>
      </c>
      <c r="G42" s="150">
        <v>10.6</v>
      </c>
      <c r="H42" s="151" t="s">
        <v>567</v>
      </c>
      <c r="I42" s="152">
        <v>3.2</v>
      </c>
      <c r="J42" s="151" t="s">
        <v>567</v>
      </c>
      <c r="K42" s="152"/>
    </row>
    <row r="43" spans="3:11" s="151" customFormat="1" x14ac:dyDescent="0.25">
      <c r="C43" s="151" t="s">
        <v>551</v>
      </c>
      <c r="D43" s="151" t="s">
        <v>349</v>
      </c>
      <c r="E43" s="153" t="s">
        <v>570</v>
      </c>
      <c r="F43" s="151" t="s">
        <v>552</v>
      </c>
      <c r="G43" s="150">
        <v>9.5</v>
      </c>
      <c r="H43" s="151" t="s">
        <v>567</v>
      </c>
      <c r="I43" s="152">
        <v>3.2</v>
      </c>
      <c r="J43" s="151" t="s">
        <v>567</v>
      </c>
      <c r="K43" s="152"/>
    </row>
    <row r="44" spans="3:11" s="151" customFormat="1" x14ac:dyDescent="0.25">
      <c r="C44" s="151" t="s">
        <v>551</v>
      </c>
      <c r="D44" s="151" t="s">
        <v>349</v>
      </c>
      <c r="E44" s="153" t="s">
        <v>547</v>
      </c>
      <c r="F44" s="151" t="s">
        <v>565</v>
      </c>
      <c r="G44" s="155">
        <v>11.2</v>
      </c>
      <c r="H44" s="151" t="s">
        <v>566</v>
      </c>
      <c r="I44" s="152">
        <v>4.2</v>
      </c>
      <c r="J44" s="151" t="s">
        <v>566</v>
      </c>
    </row>
    <row r="45" spans="3:11" s="151" customFormat="1" x14ac:dyDescent="0.25">
      <c r="C45" s="151" t="s">
        <v>551</v>
      </c>
      <c r="D45" s="151" t="s">
        <v>349</v>
      </c>
      <c r="E45" s="153" t="s">
        <v>547</v>
      </c>
      <c r="F45" s="151" t="s">
        <v>562</v>
      </c>
      <c r="G45" s="155">
        <v>12</v>
      </c>
      <c r="H45" s="151" t="s">
        <v>566</v>
      </c>
      <c r="I45" s="152">
        <v>4.2</v>
      </c>
      <c r="J45" s="151" t="s">
        <v>566</v>
      </c>
    </row>
    <row r="46" spans="3:11" s="151" customFormat="1" x14ac:dyDescent="0.25">
      <c r="C46" s="151" t="s">
        <v>551</v>
      </c>
      <c r="D46" s="151" t="s">
        <v>349</v>
      </c>
      <c r="E46" s="153" t="s">
        <v>547</v>
      </c>
      <c r="F46" s="151" t="s">
        <v>554</v>
      </c>
      <c r="G46" s="151">
        <v>12</v>
      </c>
      <c r="H46" s="151" t="s">
        <v>567</v>
      </c>
      <c r="I46" s="151">
        <v>4.2</v>
      </c>
      <c r="J46" s="151" t="s">
        <v>567</v>
      </c>
    </row>
    <row r="47" spans="3:11" s="151" customFormat="1" x14ac:dyDescent="0.25">
      <c r="C47" s="151" t="s">
        <v>551</v>
      </c>
      <c r="D47" s="151" t="s">
        <v>349</v>
      </c>
      <c r="E47" s="153" t="s">
        <v>547</v>
      </c>
      <c r="F47" s="151" t="s">
        <v>558</v>
      </c>
      <c r="G47" s="150" t="s">
        <v>259</v>
      </c>
      <c r="H47" s="151" t="s">
        <v>259</v>
      </c>
      <c r="I47" s="150" t="s">
        <v>259</v>
      </c>
      <c r="J47" s="151" t="s">
        <v>259</v>
      </c>
    </row>
    <row r="48" spans="3:11" s="151" customFormat="1" x14ac:dyDescent="0.25">
      <c r="C48" s="151" t="s">
        <v>551</v>
      </c>
      <c r="D48" s="151" t="s">
        <v>349</v>
      </c>
      <c r="E48" s="154" t="s">
        <v>548</v>
      </c>
      <c r="F48" s="151" t="s">
        <v>554</v>
      </c>
      <c r="G48" s="151">
        <v>16.2</v>
      </c>
      <c r="H48" s="151" t="s">
        <v>567</v>
      </c>
      <c r="I48" s="151">
        <v>3.6</v>
      </c>
      <c r="J48" s="151" t="s">
        <v>567</v>
      </c>
    </row>
    <row r="49" spans="2:10" s="151" customFormat="1" x14ac:dyDescent="0.25">
      <c r="C49" s="151" t="s">
        <v>551</v>
      </c>
      <c r="D49" s="151" t="s">
        <v>349</v>
      </c>
      <c r="E49" s="154" t="s">
        <v>548</v>
      </c>
      <c r="F49" s="151" t="s">
        <v>558</v>
      </c>
      <c r="G49" s="150" t="s">
        <v>259</v>
      </c>
      <c r="H49" s="151" t="s">
        <v>259</v>
      </c>
      <c r="I49" s="150" t="s">
        <v>259</v>
      </c>
      <c r="J49" s="151" t="s">
        <v>259</v>
      </c>
    </row>
    <row r="50" spans="2:10" s="151" customFormat="1" x14ac:dyDescent="0.25">
      <c r="C50" s="151" t="s">
        <v>551</v>
      </c>
      <c r="D50" s="151" t="s">
        <v>349</v>
      </c>
      <c r="E50" s="154" t="s">
        <v>557</v>
      </c>
      <c r="F50" s="151" t="s">
        <v>554</v>
      </c>
      <c r="G50" s="151">
        <v>13.4</v>
      </c>
      <c r="H50" s="151" t="s">
        <v>567</v>
      </c>
      <c r="I50" s="151">
        <v>3.1</v>
      </c>
      <c r="J50" s="151" t="s">
        <v>567</v>
      </c>
    </row>
    <row r="51" spans="2:10" s="151" customFormat="1" x14ac:dyDescent="0.25">
      <c r="C51" s="151" t="s">
        <v>551</v>
      </c>
      <c r="D51" s="151" t="s">
        <v>349</v>
      </c>
      <c r="E51" s="154" t="s">
        <v>557</v>
      </c>
      <c r="F51" s="151" t="s">
        <v>558</v>
      </c>
      <c r="G51" s="150" t="s">
        <v>259</v>
      </c>
      <c r="H51" s="150" t="s">
        <v>259</v>
      </c>
      <c r="I51" s="150" t="s">
        <v>259</v>
      </c>
      <c r="J51" s="151" t="s">
        <v>259</v>
      </c>
    </row>
    <row r="52" spans="2:10" s="151" customFormat="1" x14ac:dyDescent="0.25">
      <c r="C52" s="151" t="s">
        <v>550</v>
      </c>
      <c r="D52" s="151" t="s">
        <v>806</v>
      </c>
      <c r="E52" s="154" t="s">
        <v>570</v>
      </c>
      <c r="F52" s="151" t="s">
        <v>562</v>
      </c>
      <c r="G52" s="150">
        <v>11</v>
      </c>
      <c r="H52" s="150" t="s">
        <v>807</v>
      </c>
      <c r="I52" s="150" t="s">
        <v>259</v>
      </c>
      <c r="J52" s="151" t="s">
        <v>259</v>
      </c>
    </row>
    <row r="53" spans="2:10" s="151" customFormat="1" x14ac:dyDescent="0.25">
      <c r="C53" s="151" t="s">
        <v>550</v>
      </c>
      <c r="D53" s="151" t="s">
        <v>806</v>
      </c>
      <c r="E53" s="154" t="s">
        <v>570</v>
      </c>
      <c r="F53" s="151" t="s">
        <v>554</v>
      </c>
      <c r="G53" s="150">
        <v>10.4</v>
      </c>
      <c r="H53" s="150" t="s">
        <v>807</v>
      </c>
      <c r="I53" s="150" t="s">
        <v>259</v>
      </c>
      <c r="J53" s="151" t="s">
        <v>259</v>
      </c>
    </row>
    <row r="54" spans="2:10" s="151" customFormat="1" x14ac:dyDescent="0.25">
      <c r="C54" s="151" t="s">
        <v>550</v>
      </c>
      <c r="D54" s="151" t="s">
        <v>806</v>
      </c>
      <c r="E54" s="154" t="s">
        <v>570</v>
      </c>
      <c r="F54" s="151" t="s">
        <v>553</v>
      </c>
      <c r="G54" s="150">
        <v>10.199999999999999</v>
      </c>
      <c r="H54" s="150" t="s">
        <v>807</v>
      </c>
      <c r="I54" s="150" t="s">
        <v>259</v>
      </c>
      <c r="J54" s="151" t="s">
        <v>259</v>
      </c>
    </row>
    <row r="55" spans="2:10" s="151" customFormat="1" x14ac:dyDescent="0.25">
      <c r="C55" s="151" t="s">
        <v>550</v>
      </c>
      <c r="D55" s="151" t="s">
        <v>806</v>
      </c>
      <c r="E55" s="154" t="s">
        <v>570</v>
      </c>
      <c r="F55" s="151" t="s">
        <v>552</v>
      </c>
      <c r="G55" s="150">
        <v>10.199999999999999</v>
      </c>
      <c r="H55" s="150" t="s">
        <v>808</v>
      </c>
      <c r="I55" s="150" t="s">
        <v>259</v>
      </c>
      <c r="J55" s="151" t="s">
        <v>259</v>
      </c>
    </row>
    <row r="56" spans="2:10" s="151" customFormat="1" x14ac:dyDescent="0.25">
      <c r="B56" s="145" t="s">
        <v>245</v>
      </c>
    </row>
    <row r="57" spans="2:10" s="151" customFormat="1" x14ac:dyDescent="0.25"/>
    <row r="58" spans="2:10" s="151" customFormat="1" x14ac:dyDescent="0.25"/>
    <row r="59" spans="2:10" s="151" customFormat="1" x14ac:dyDescent="0.25"/>
    <row r="60" spans="2:10" s="151" customFormat="1" x14ac:dyDescent="0.25"/>
    <row r="61" spans="2:10" s="151" customFormat="1" x14ac:dyDescent="0.25"/>
    <row r="62" spans="2:10" s="151" customFormat="1" x14ac:dyDescent="0.25"/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5" tint="-0.499984740745262"/>
  </sheetPr>
  <dimension ref="A1:N82"/>
  <sheetViews>
    <sheetView zoomScaleNormal="100" workbookViewId="0">
      <selection activeCell="R84" sqref="R84"/>
    </sheetView>
  </sheetViews>
  <sheetFormatPr defaultRowHeight="15" x14ac:dyDescent="0.25"/>
  <cols>
    <col min="1" max="1" width="2.140625" style="145" customWidth="1"/>
    <col min="2" max="2" width="3.28515625" style="145" customWidth="1"/>
    <col min="3" max="3" width="17" style="145" customWidth="1"/>
    <col min="4" max="4" width="15.5703125" style="145" customWidth="1"/>
    <col min="5" max="5" width="19.28515625" style="145" customWidth="1"/>
    <col min="6" max="6" width="22.85546875" style="145" customWidth="1"/>
    <col min="7" max="7" width="17" style="145" customWidth="1"/>
    <col min="8" max="9" width="12.7109375" style="145" customWidth="1"/>
    <col min="10" max="10" width="22.85546875" style="145" customWidth="1"/>
    <col min="11" max="12" width="12.140625" style="145" customWidth="1"/>
    <col min="13" max="13" width="22.85546875" style="145" customWidth="1"/>
    <col min="14" max="16384" width="9.140625" style="145"/>
  </cols>
  <sheetData>
    <row r="1" spans="1:6" s="138" customFormat="1" x14ac:dyDescent="0.25">
      <c r="A1" s="138" t="s">
        <v>250</v>
      </c>
      <c r="B1" s="138" t="s">
        <v>924</v>
      </c>
    </row>
    <row r="2" spans="1:6" s="138" customFormat="1" x14ac:dyDescent="0.25">
      <c r="A2" s="138" t="s">
        <v>250</v>
      </c>
    </row>
    <row r="3" spans="1:6" s="138" customFormat="1" x14ac:dyDescent="0.25">
      <c r="A3" s="138" t="s">
        <v>250</v>
      </c>
      <c r="B3" s="138" t="s">
        <v>357</v>
      </c>
    </row>
    <row r="4" spans="1:6" s="138" customFormat="1" x14ac:dyDescent="0.25">
      <c r="A4" s="138" t="s">
        <v>250</v>
      </c>
      <c r="C4" s="138" t="s">
        <v>571</v>
      </c>
    </row>
    <row r="5" spans="1:6" s="138" customFormat="1" x14ac:dyDescent="0.25">
      <c r="A5" s="138" t="s">
        <v>250</v>
      </c>
    </row>
    <row r="6" spans="1:6" s="138" customFormat="1" x14ac:dyDescent="0.25">
      <c r="A6" s="138" t="s">
        <v>250</v>
      </c>
      <c r="B6" s="138" t="s">
        <v>358</v>
      </c>
    </row>
    <row r="7" spans="1:6" s="138" customFormat="1" x14ac:dyDescent="0.25">
      <c r="A7" s="138" t="s">
        <v>250</v>
      </c>
      <c r="C7" s="138" t="s">
        <v>263</v>
      </c>
      <c r="D7" s="138" t="s">
        <v>264</v>
      </c>
      <c r="E7" s="138" t="s">
        <v>265</v>
      </c>
    </row>
    <row r="8" spans="1:6" x14ac:dyDescent="0.25">
      <c r="A8" s="145" t="s">
        <v>250</v>
      </c>
      <c r="C8" s="32">
        <v>41511</v>
      </c>
      <c r="D8" s="145" t="s">
        <v>387</v>
      </c>
      <c r="E8" s="145" t="s">
        <v>266</v>
      </c>
    </row>
    <row r="9" spans="1:6" x14ac:dyDescent="0.25">
      <c r="A9" s="145" t="s">
        <v>250</v>
      </c>
      <c r="C9" s="32">
        <v>42206</v>
      </c>
      <c r="D9" s="145" t="s">
        <v>387</v>
      </c>
      <c r="E9" s="145" t="s">
        <v>917</v>
      </c>
    </row>
    <row r="10" spans="1:6" x14ac:dyDescent="0.25">
      <c r="A10" s="145" t="s">
        <v>250</v>
      </c>
      <c r="C10" s="32"/>
    </row>
    <row r="11" spans="1:6" s="138" customFormat="1" x14ac:dyDescent="0.25">
      <c r="A11" s="138" t="s">
        <v>250</v>
      </c>
      <c r="B11" s="138" t="s">
        <v>359</v>
      </c>
    </row>
    <row r="12" spans="1:6" x14ac:dyDescent="0.25">
      <c r="A12" s="145" t="s">
        <v>250</v>
      </c>
      <c r="C12" s="145" t="s">
        <v>382</v>
      </c>
    </row>
    <row r="13" spans="1:6" x14ac:dyDescent="0.25">
      <c r="A13" s="145" t="s">
        <v>250</v>
      </c>
      <c r="C13" s="145" t="s">
        <v>380</v>
      </c>
    </row>
    <row r="14" spans="1:6" x14ac:dyDescent="0.25">
      <c r="A14" s="145" t="s">
        <v>250</v>
      </c>
    </row>
    <row r="15" spans="1:6" s="138" customFormat="1" x14ac:dyDescent="0.25">
      <c r="A15" s="138" t="s">
        <v>250</v>
      </c>
      <c r="B15" s="138" t="s">
        <v>356</v>
      </c>
    </row>
    <row r="16" spans="1:6" x14ac:dyDescent="0.25">
      <c r="A16" s="145" t="s">
        <v>250</v>
      </c>
      <c r="C16" s="145" t="s">
        <v>383</v>
      </c>
      <c r="F16" s="112"/>
    </row>
    <row r="17" spans="1:13" x14ac:dyDescent="0.25">
      <c r="A17" s="145" t="s">
        <v>250</v>
      </c>
      <c r="C17" s="145" t="s">
        <v>384</v>
      </c>
      <c r="F17" s="112"/>
    </row>
    <row r="18" spans="1:13" x14ac:dyDescent="0.25">
      <c r="A18" s="145" t="s">
        <v>250</v>
      </c>
      <c r="F18" s="112"/>
    </row>
    <row r="19" spans="1:13" s="138" customFormat="1" x14ac:dyDescent="0.25">
      <c r="A19" s="138" t="s">
        <v>250</v>
      </c>
      <c r="B19" s="138" t="s">
        <v>355</v>
      </c>
    </row>
    <row r="20" spans="1:13" x14ac:dyDescent="0.25">
      <c r="A20" s="145" t="s">
        <v>250</v>
      </c>
      <c r="C20" s="138" t="s">
        <v>918</v>
      </c>
      <c r="D20" s="30"/>
      <c r="E20" s="30"/>
      <c r="F20" s="30"/>
      <c r="G20" s="30"/>
      <c r="H20" s="30"/>
      <c r="I20" s="30"/>
    </row>
    <row r="21" spans="1:13" x14ac:dyDescent="0.25">
      <c r="A21" s="145" t="s">
        <v>250</v>
      </c>
      <c r="F21" s="112"/>
    </row>
    <row r="22" spans="1:13" s="138" customFormat="1" x14ac:dyDescent="0.25">
      <c r="A22" s="138" t="s">
        <v>366</v>
      </c>
    </row>
    <row r="23" spans="1:13" s="151" customFormat="1" x14ac:dyDescent="0.25">
      <c r="A23" s="145"/>
      <c r="B23" s="140" t="str">
        <f>"TABLE "&amp;$C$4</f>
        <v>TABLE UnitaryACHPMinEffReq</v>
      </c>
    </row>
    <row r="24" spans="1:13" x14ac:dyDescent="0.25">
      <c r="C24" s="145" t="s">
        <v>919</v>
      </c>
      <c r="D24" s="145" t="s">
        <v>559</v>
      </c>
      <c r="E24" s="145" t="s">
        <v>572</v>
      </c>
      <c r="F24" s="111" t="s">
        <v>569</v>
      </c>
      <c r="G24" s="111" t="s">
        <v>280</v>
      </c>
      <c r="H24" s="145" t="s">
        <v>11</v>
      </c>
      <c r="I24" s="145" t="s">
        <v>12</v>
      </c>
      <c r="J24" s="145" t="s">
        <v>560</v>
      </c>
      <c r="K24" s="145" t="s">
        <v>937</v>
      </c>
      <c r="L24" s="145" t="s">
        <v>938</v>
      </c>
      <c r="M24" s="145" t="s">
        <v>561</v>
      </c>
    </row>
    <row r="25" spans="1:13" x14ac:dyDescent="0.25">
      <c r="C25" s="151" t="s">
        <v>349</v>
      </c>
      <c r="D25" s="151" t="s">
        <v>550</v>
      </c>
      <c r="E25" s="153" t="s">
        <v>935</v>
      </c>
      <c r="F25" s="153" t="s">
        <v>570</v>
      </c>
      <c r="G25" s="151" t="s">
        <v>934</v>
      </c>
      <c r="H25" s="150">
        <v>12.2</v>
      </c>
      <c r="I25" s="150" t="s">
        <v>259</v>
      </c>
      <c r="J25" s="151" t="s">
        <v>568</v>
      </c>
      <c r="K25" s="150" t="s">
        <v>259</v>
      </c>
      <c r="L25" s="150" t="s">
        <v>259</v>
      </c>
      <c r="M25" s="151" t="s">
        <v>259</v>
      </c>
    </row>
    <row r="26" spans="1:13" x14ac:dyDescent="0.25">
      <c r="C26" s="151" t="s">
        <v>349</v>
      </c>
      <c r="D26" s="151" t="s">
        <v>550</v>
      </c>
      <c r="E26" s="153" t="s">
        <v>935</v>
      </c>
      <c r="F26" s="153" t="s">
        <v>570</v>
      </c>
      <c r="G26" s="151" t="s">
        <v>562</v>
      </c>
      <c r="H26" s="150">
        <v>11.7</v>
      </c>
      <c r="I26" s="150" t="s">
        <v>259</v>
      </c>
      <c r="J26" s="151" t="s">
        <v>568</v>
      </c>
      <c r="K26" s="150" t="s">
        <v>259</v>
      </c>
      <c r="L26" s="150" t="s">
        <v>259</v>
      </c>
      <c r="M26" s="151" t="s">
        <v>259</v>
      </c>
    </row>
    <row r="27" spans="1:13" x14ac:dyDescent="0.25">
      <c r="C27" s="151" t="s">
        <v>349</v>
      </c>
      <c r="D27" s="151" t="s">
        <v>550</v>
      </c>
      <c r="E27" s="153" t="s">
        <v>936</v>
      </c>
      <c r="F27" s="153" t="s">
        <v>570</v>
      </c>
      <c r="G27" s="151" t="s">
        <v>562</v>
      </c>
      <c r="H27" s="150">
        <v>11</v>
      </c>
      <c r="I27" s="150" t="s">
        <v>259</v>
      </c>
      <c r="J27" s="151" t="s">
        <v>568</v>
      </c>
      <c r="K27" s="150" t="s">
        <v>259</v>
      </c>
      <c r="L27" s="150" t="s">
        <v>259</v>
      </c>
      <c r="M27" s="151" t="s">
        <v>259</v>
      </c>
    </row>
    <row r="28" spans="1:13" s="151" customFormat="1" x14ac:dyDescent="0.25">
      <c r="C28" s="151" t="s">
        <v>349</v>
      </c>
      <c r="D28" s="151" t="s">
        <v>550</v>
      </c>
      <c r="E28" s="153" t="s">
        <v>349</v>
      </c>
      <c r="F28" s="153" t="s">
        <v>570</v>
      </c>
      <c r="G28" s="151" t="s">
        <v>562</v>
      </c>
      <c r="H28" s="150" t="s">
        <v>259</v>
      </c>
      <c r="I28" s="150" t="s">
        <v>259</v>
      </c>
      <c r="J28" s="151" t="s">
        <v>568</v>
      </c>
      <c r="K28" s="150" t="s">
        <v>259</v>
      </c>
      <c r="L28" s="150" t="s">
        <v>259</v>
      </c>
      <c r="M28" s="151" t="s">
        <v>259</v>
      </c>
    </row>
    <row r="29" spans="1:13" s="151" customFormat="1" x14ac:dyDescent="0.25">
      <c r="C29" s="342" t="s">
        <v>920</v>
      </c>
      <c r="D29" s="151" t="s">
        <v>550</v>
      </c>
      <c r="E29" s="153" t="s">
        <v>349</v>
      </c>
      <c r="F29" s="153" t="s">
        <v>570</v>
      </c>
      <c r="G29" s="151" t="s">
        <v>554</v>
      </c>
      <c r="H29" s="150">
        <v>11.2</v>
      </c>
      <c r="I29" s="150">
        <v>12.9</v>
      </c>
      <c r="J29" s="151" t="s">
        <v>564</v>
      </c>
      <c r="K29" s="150" t="s">
        <v>259</v>
      </c>
      <c r="L29" s="150" t="s">
        <v>259</v>
      </c>
      <c r="M29" s="151" t="s">
        <v>259</v>
      </c>
    </row>
    <row r="30" spans="1:13" s="151" customFormat="1" x14ac:dyDescent="0.25">
      <c r="C30" s="151" t="s">
        <v>349</v>
      </c>
      <c r="D30" s="151" t="s">
        <v>550</v>
      </c>
      <c r="E30" s="153" t="s">
        <v>349</v>
      </c>
      <c r="F30" s="153" t="s">
        <v>570</v>
      </c>
      <c r="G30" s="151" t="s">
        <v>554</v>
      </c>
      <c r="H30" s="150">
        <v>11.2</v>
      </c>
      <c r="I30" s="150">
        <v>11.4</v>
      </c>
      <c r="J30" s="151" t="s">
        <v>564</v>
      </c>
      <c r="K30" s="150" t="s">
        <v>259</v>
      </c>
      <c r="L30" s="150" t="s">
        <v>259</v>
      </c>
      <c r="M30" s="151" t="s">
        <v>259</v>
      </c>
    </row>
    <row r="31" spans="1:13" s="151" customFormat="1" x14ac:dyDescent="0.25">
      <c r="C31" s="342" t="s">
        <v>920</v>
      </c>
      <c r="D31" s="151" t="s">
        <v>550</v>
      </c>
      <c r="E31" s="153" t="s">
        <v>349</v>
      </c>
      <c r="F31" s="153" t="s">
        <v>570</v>
      </c>
      <c r="G31" s="151" t="s">
        <v>553</v>
      </c>
      <c r="H31" s="150">
        <v>11</v>
      </c>
      <c r="I31" s="150">
        <v>12.4</v>
      </c>
      <c r="J31" s="151" t="s">
        <v>564</v>
      </c>
      <c r="K31" s="150" t="s">
        <v>259</v>
      </c>
      <c r="L31" s="150" t="s">
        <v>259</v>
      </c>
      <c r="M31" s="151" t="s">
        <v>259</v>
      </c>
    </row>
    <row r="32" spans="1:13" s="151" customFormat="1" x14ac:dyDescent="0.25">
      <c r="C32" s="151" t="s">
        <v>349</v>
      </c>
      <c r="D32" s="151" t="s">
        <v>550</v>
      </c>
      <c r="E32" s="153" t="s">
        <v>349</v>
      </c>
      <c r="F32" s="153" t="s">
        <v>570</v>
      </c>
      <c r="G32" s="151" t="s">
        <v>553</v>
      </c>
      <c r="H32" s="150">
        <v>11</v>
      </c>
      <c r="I32" s="150">
        <v>11.2</v>
      </c>
      <c r="J32" s="151" t="s">
        <v>564</v>
      </c>
      <c r="K32" s="150" t="s">
        <v>259</v>
      </c>
      <c r="L32" s="150" t="s">
        <v>259</v>
      </c>
      <c r="M32" s="151" t="s">
        <v>259</v>
      </c>
    </row>
    <row r="33" spans="3:13" s="151" customFormat="1" x14ac:dyDescent="0.25">
      <c r="C33" s="342" t="s">
        <v>920</v>
      </c>
      <c r="D33" s="151" t="s">
        <v>550</v>
      </c>
      <c r="E33" s="153" t="s">
        <v>349</v>
      </c>
      <c r="F33" s="153" t="s">
        <v>570</v>
      </c>
      <c r="G33" s="151" t="s">
        <v>556</v>
      </c>
      <c r="H33" s="150">
        <v>10</v>
      </c>
      <c r="I33" s="150">
        <v>11.6</v>
      </c>
      <c r="J33" s="151" t="s">
        <v>564</v>
      </c>
      <c r="K33" s="150" t="s">
        <v>259</v>
      </c>
      <c r="L33" s="150" t="s">
        <v>259</v>
      </c>
      <c r="M33" s="151" t="s">
        <v>259</v>
      </c>
    </row>
    <row r="34" spans="3:13" s="151" customFormat="1" x14ac:dyDescent="0.25">
      <c r="C34" s="151" t="s">
        <v>349</v>
      </c>
      <c r="D34" s="151" t="s">
        <v>550</v>
      </c>
      <c r="E34" s="153" t="s">
        <v>349</v>
      </c>
      <c r="F34" s="153" t="s">
        <v>570</v>
      </c>
      <c r="G34" s="151" t="s">
        <v>556</v>
      </c>
      <c r="H34" s="150">
        <v>10</v>
      </c>
      <c r="I34" s="150">
        <v>10.1</v>
      </c>
      <c r="J34" s="151" t="s">
        <v>564</v>
      </c>
      <c r="K34" s="150" t="s">
        <v>259</v>
      </c>
      <c r="L34" s="150" t="s">
        <v>259</v>
      </c>
      <c r="M34" s="151" t="s">
        <v>259</v>
      </c>
    </row>
    <row r="35" spans="3:13" s="151" customFormat="1" x14ac:dyDescent="0.25">
      <c r="C35" s="342" t="s">
        <v>920</v>
      </c>
      <c r="D35" s="151" t="s">
        <v>550</v>
      </c>
      <c r="E35" s="153" t="s">
        <v>349</v>
      </c>
      <c r="F35" s="153" t="s">
        <v>570</v>
      </c>
      <c r="G35" s="151" t="s">
        <v>555</v>
      </c>
      <c r="H35" s="150">
        <v>9.6999999999999993</v>
      </c>
      <c r="I35" s="150">
        <v>11.2</v>
      </c>
      <c r="J35" s="151" t="s">
        <v>564</v>
      </c>
      <c r="K35" s="150" t="s">
        <v>259</v>
      </c>
      <c r="L35" s="150" t="s">
        <v>259</v>
      </c>
      <c r="M35" s="151" t="s">
        <v>259</v>
      </c>
    </row>
    <row r="36" spans="3:13" s="151" customFormat="1" x14ac:dyDescent="0.25">
      <c r="C36" s="151" t="s">
        <v>349</v>
      </c>
      <c r="D36" s="151" t="s">
        <v>550</v>
      </c>
      <c r="E36" s="153" t="s">
        <v>349</v>
      </c>
      <c r="F36" s="153" t="s">
        <v>570</v>
      </c>
      <c r="G36" s="151" t="s">
        <v>555</v>
      </c>
      <c r="H36" s="150">
        <v>9.6999999999999993</v>
      </c>
      <c r="I36" s="150">
        <v>9.8000000000000007</v>
      </c>
      <c r="J36" s="151" t="s">
        <v>564</v>
      </c>
      <c r="K36" s="150" t="s">
        <v>259</v>
      </c>
      <c r="L36" s="150" t="s">
        <v>259</v>
      </c>
      <c r="M36" s="151" t="s">
        <v>259</v>
      </c>
    </row>
    <row r="37" spans="3:13" s="151" customFormat="1" x14ac:dyDescent="0.25">
      <c r="C37" s="151" t="s">
        <v>349</v>
      </c>
      <c r="D37" s="151" t="s">
        <v>550</v>
      </c>
      <c r="E37" s="151" t="s">
        <v>349</v>
      </c>
      <c r="F37" s="153" t="s">
        <v>547</v>
      </c>
      <c r="G37" s="151" t="s">
        <v>565</v>
      </c>
      <c r="H37" s="155">
        <v>12.1</v>
      </c>
      <c r="I37" s="155" t="s">
        <v>259</v>
      </c>
      <c r="J37" s="151" t="s">
        <v>566</v>
      </c>
      <c r="K37" s="150" t="s">
        <v>259</v>
      </c>
      <c r="L37" s="150" t="s">
        <v>259</v>
      </c>
      <c r="M37" s="151" t="s">
        <v>259</v>
      </c>
    </row>
    <row r="38" spans="3:13" s="151" customFormat="1" x14ac:dyDescent="0.25">
      <c r="C38" s="151" t="s">
        <v>349</v>
      </c>
      <c r="D38" s="151" t="s">
        <v>550</v>
      </c>
      <c r="E38" s="151" t="s">
        <v>349</v>
      </c>
      <c r="F38" s="153" t="s">
        <v>547</v>
      </c>
      <c r="G38" s="151" t="s">
        <v>562</v>
      </c>
      <c r="H38" s="155">
        <v>12.1</v>
      </c>
      <c r="I38" s="155" t="s">
        <v>259</v>
      </c>
      <c r="J38" s="151" t="s">
        <v>566</v>
      </c>
      <c r="K38" s="150" t="s">
        <v>259</v>
      </c>
      <c r="L38" s="150" t="s">
        <v>259</v>
      </c>
      <c r="M38" s="151" t="s">
        <v>259</v>
      </c>
    </row>
    <row r="39" spans="3:13" s="151" customFormat="1" x14ac:dyDescent="0.25">
      <c r="C39" s="342" t="s">
        <v>920</v>
      </c>
      <c r="D39" s="151" t="s">
        <v>550</v>
      </c>
      <c r="E39" s="151" t="s">
        <v>349</v>
      </c>
      <c r="F39" s="153" t="s">
        <v>547</v>
      </c>
      <c r="G39" s="151" t="s">
        <v>554</v>
      </c>
      <c r="H39" s="150">
        <v>12.1</v>
      </c>
      <c r="I39" s="150">
        <v>13.9</v>
      </c>
      <c r="J39" s="151" t="s">
        <v>564</v>
      </c>
      <c r="K39" s="150" t="s">
        <v>259</v>
      </c>
      <c r="L39" s="150" t="s">
        <v>259</v>
      </c>
      <c r="M39" s="151" t="s">
        <v>259</v>
      </c>
    </row>
    <row r="40" spans="3:13" s="151" customFormat="1" x14ac:dyDescent="0.25">
      <c r="C40" s="151" t="s">
        <v>349</v>
      </c>
      <c r="D40" s="151" t="s">
        <v>550</v>
      </c>
      <c r="E40" s="151" t="s">
        <v>349</v>
      </c>
      <c r="F40" s="153" t="s">
        <v>547</v>
      </c>
      <c r="G40" s="151" t="s">
        <v>554</v>
      </c>
      <c r="H40" s="150">
        <v>12.1</v>
      </c>
      <c r="I40" s="150">
        <v>12.3</v>
      </c>
      <c r="J40" s="151" t="s">
        <v>564</v>
      </c>
      <c r="K40" s="150" t="s">
        <v>259</v>
      </c>
      <c r="L40" s="150" t="s">
        <v>259</v>
      </c>
      <c r="M40" s="151" t="s">
        <v>259</v>
      </c>
    </row>
    <row r="41" spans="3:13" s="151" customFormat="1" x14ac:dyDescent="0.25">
      <c r="C41" s="342" t="s">
        <v>920</v>
      </c>
      <c r="D41" s="151" t="s">
        <v>550</v>
      </c>
      <c r="E41" s="151" t="s">
        <v>349</v>
      </c>
      <c r="F41" s="153" t="s">
        <v>547</v>
      </c>
      <c r="G41" s="151" t="s">
        <v>553</v>
      </c>
      <c r="H41" s="150">
        <v>12.5</v>
      </c>
      <c r="I41" s="150">
        <v>13.9</v>
      </c>
      <c r="J41" s="151" t="s">
        <v>564</v>
      </c>
      <c r="K41" s="150" t="s">
        <v>259</v>
      </c>
      <c r="L41" s="150" t="s">
        <v>259</v>
      </c>
      <c r="M41" s="151" t="s">
        <v>259</v>
      </c>
    </row>
    <row r="42" spans="3:13" s="151" customFormat="1" x14ac:dyDescent="0.25">
      <c r="C42" s="151" t="s">
        <v>349</v>
      </c>
      <c r="D42" s="151" t="s">
        <v>550</v>
      </c>
      <c r="E42" s="151" t="s">
        <v>349</v>
      </c>
      <c r="F42" s="153" t="s">
        <v>547</v>
      </c>
      <c r="G42" s="151" t="s">
        <v>553</v>
      </c>
      <c r="H42" s="150">
        <v>12.5</v>
      </c>
      <c r="I42" s="150">
        <v>12.5</v>
      </c>
      <c r="J42" s="151" t="s">
        <v>564</v>
      </c>
      <c r="K42" s="150" t="s">
        <v>259</v>
      </c>
      <c r="L42" s="150" t="s">
        <v>259</v>
      </c>
      <c r="M42" s="151" t="s">
        <v>259</v>
      </c>
    </row>
    <row r="43" spans="3:13" s="151" customFormat="1" x14ac:dyDescent="0.25">
      <c r="C43" s="342" t="s">
        <v>920</v>
      </c>
      <c r="D43" s="151" t="s">
        <v>550</v>
      </c>
      <c r="E43" s="151" t="s">
        <v>349</v>
      </c>
      <c r="F43" s="153" t="s">
        <v>547</v>
      </c>
      <c r="G43" s="151" t="s">
        <v>556</v>
      </c>
      <c r="H43" s="150">
        <v>12.4</v>
      </c>
      <c r="I43" s="150">
        <v>13.6</v>
      </c>
      <c r="J43" s="151" t="s">
        <v>564</v>
      </c>
      <c r="K43" s="150" t="s">
        <v>259</v>
      </c>
      <c r="L43" s="150" t="s">
        <v>259</v>
      </c>
      <c r="M43" s="151" t="s">
        <v>259</v>
      </c>
    </row>
    <row r="44" spans="3:13" s="151" customFormat="1" x14ac:dyDescent="0.25">
      <c r="C44" s="151" t="s">
        <v>349</v>
      </c>
      <c r="D44" s="151" t="s">
        <v>550</v>
      </c>
      <c r="E44" s="151" t="s">
        <v>349</v>
      </c>
      <c r="F44" s="153" t="s">
        <v>547</v>
      </c>
      <c r="G44" s="151" t="s">
        <v>556</v>
      </c>
      <c r="H44" s="150">
        <v>12.4</v>
      </c>
      <c r="I44" s="150">
        <v>12.6</v>
      </c>
      <c r="J44" s="151" t="s">
        <v>564</v>
      </c>
      <c r="K44" s="150" t="s">
        <v>259</v>
      </c>
      <c r="L44" s="150" t="s">
        <v>259</v>
      </c>
      <c r="M44" s="151" t="s">
        <v>259</v>
      </c>
    </row>
    <row r="45" spans="3:13" s="151" customFormat="1" x14ac:dyDescent="0.25">
      <c r="C45" s="342" t="s">
        <v>920</v>
      </c>
      <c r="D45" s="151" t="s">
        <v>550</v>
      </c>
      <c r="E45" s="151" t="s">
        <v>349</v>
      </c>
      <c r="F45" s="153" t="s">
        <v>547</v>
      </c>
      <c r="G45" s="151" t="s">
        <v>555</v>
      </c>
      <c r="H45" s="150">
        <v>12.2</v>
      </c>
      <c r="I45" s="150">
        <v>13.5</v>
      </c>
      <c r="J45" s="151" t="s">
        <v>564</v>
      </c>
      <c r="K45" s="150" t="s">
        <v>259</v>
      </c>
      <c r="L45" s="150" t="s">
        <v>259</v>
      </c>
      <c r="M45" s="151" t="s">
        <v>259</v>
      </c>
    </row>
    <row r="46" spans="3:13" s="151" customFormat="1" x14ac:dyDescent="0.25">
      <c r="C46" s="151" t="s">
        <v>349</v>
      </c>
      <c r="D46" s="151" t="s">
        <v>550</v>
      </c>
      <c r="E46" s="151" t="s">
        <v>349</v>
      </c>
      <c r="F46" s="153" t="s">
        <v>547</v>
      </c>
      <c r="G46" s="151" t="s">
        <v>555</v>
      </c>
      <c r="H46" s="150">
        <v>12.2</v>
      </c>
      <c r="I46" s="150">
        <v>12.4</v>
      </c>
      <c r="J46" s="151" t="s">
        <v>564</v>
      </c>
      <c r="K46" s="150" t="s">
        <v>259</v>
      </c>
      <c r="L46" s="150" t="s">
        <v>259</v>
      </c>
      <c r="M46" s="151" t="s">
        <v>259</v>
      </c>
    </row>
    <row r="47" spans="3:13" s="151" customFormat="1" x14ac:dyDescent="0.25">
      <c r="C47" s="151" t="s">
        <v>349</v>
      </c>
      <c r="D47" s="151" t="s">
        <v>550</v>
      </c>
      <c r="E47" s="151" t="s">
        <v>349</v>
      </c>
      <c r="F47" s="153" t="s">
        <v>549</v>
      </c>
      <c r="G47" s="151" t="s">
        <v>562</v>
      </c>
      <c r="H47" s="150">
        <v>12.1</v>
      </c>
      <c r="I47" s="150" t="s">
        <v>259</v>
      </c>
      <c r="J47" s="151" t="s">
        <v>563</v>
      </c>
      <c r="K47" s="150" t="s">
        <v>259</v>
      </c>
      <c r="L47" s="150" t="s">
        <v>259</v>
      </c>
      <c r="M47" s="151" t="s">
        <v>259</v>
      </c>
    </row>
    <row r="48" spans="3:13" s="151" customFormat="1" x14ac:dyDescent="0.25">
      <c r="C48" s="151" t="s">
        <v>349</v>
      </c>
      <c r="D48" s="151" t="s">
        <v>550</v>
      </c>
      <c r="E48" s="151" t="s">
        <v>349</v>
      </c>
      <c r="F48" s="153" t="s">
        <v>549</v>
      </c>
      <c r="G48" s="151" t="s">
        <v>554</v>
      </c>
      <c r="H48" s="150">
        <v>12.1</v>
      </c>
      <c r="I48" s="150">
        <v>12.3</v>
      </c>
      <c r="J48" s="151" t="s">
        <v>564</v>
      </c>
      <c r="K48" s="150" t="s">
        <v>259</v>
      </c>
      <c r="L48" s="150" t="s">
        <v>259</v>
      </c>
      <c r="M48" s="151" t="s">
        <v>259</v>
      </c>
    </row>
    <row r="49" spans="3:14" s="151" customFormat="1" x14ac:dyDescent="0.25">
      <c r="C49" s="151" t="s">
        <v>349</v>
      </c>
      <c r="D49" s="151" t="s">
        <v>550</v>
      </c>
      <c r="E49" s="151" t="s">
        <v>349</v>
      </c>
      <c r="F49" s="153" t="s">
        <v>549</v>
      </c>
      <c r="G49" s="151" t="s">
        <v>553</v>
      </c>
      <c r="H49" s="150">
        <v>12</v>
      </c>
      <c r="I49" s="150">
        <v>12.2</v>
      </c>
      <c r="J49" s="151" t="s">
        <v>564</v>
      </c>
      <c r="K49" s="150" t="s">
        <v>259</v>
      </c>
      <c r="L49" s="150" t="s">
        <v>259</v>
      </c>
      <c r="M49" s="151" t="s">
        <v>259</v>
      </c>
    </row>
    <row r="50" spans="3:14" s="151" customFormat="1" x14ac:dyDescent="0.25">
      <c r="C50" s="151" t="s">
        <v>349</v>
      </c>
      <c r="D50" s="151" t="s">
        <v>550</v>
      </c>
      <c r="E50" s="151" t="s">
        <v>349</v>
      </c>
      <c r="F50" s="153" t="s">
        <v>549</v>
      </c>
      <c r="G50" s="151" t="s">
        <v>556</v>
      </c>
      <c r="H50" s="150">
        <v>11.9</v>
      </c>
      <c r="I50" s="150">
        <v>12.1</v>
      </c>
      <c r="J50" s="151" t="s">
        <v>564</v>
      </c>
      <c r="K50" s="150" t="s">
        <v>259</v>
      </c>
      <c r="L50" s="150" t="s">
        <v>259</v>
      </c>
      <c r="M50" s="151" t="s">
        <v>259</v>
      </c>
    </row>
    <row r="51" spans="3:14" s="151" customFormat="1" x14ac:dyDescent="0.25">
      <c r="C51" s="151" t="s">
        <v>349</v>
      </c>
      <c r="D51" s="151" t="s">
        <v>550</v>
      </c>
      <c r="E51" s="151" t="s">
        <v>349</v>
      </c>
      <c r="F51" s="153" t="s">
        <v>549</v>
      </c>
      <c r="G51" s="151" t="s">
        <v>555</v>
      </c>
      <c r="H51" s="150">
        <v>11.7</v>
      </c>
      <c r="I51" s="150">
        <v>11.9</v>
      </c>
      <c r="J51" s="151" t="s">
        <v>564</v>
      </c>
      <c r="K51" s="150" t="s">
        <v>259</v>
      </c>
      <c r="L51" s="150" t="s">
        <v>259</v>
      </c>
      <c r="M51" s="151" t="s">
        <v>259</v>
      </c>
    </row>
    <row r="52" spans="3:14" s="151" customFormat="1" x14ac:dyDescent="0.25">
      <c r="C52" s="151" t="s">
        <v>349</v>
      </c>
      <c r="D52" s="151" t="s">
        <v>551</v>
      </c>
      <c r="E52" s="151" t="s">
        <v>349</v>
      </c>
      <c r="F52" s="153" t="s">
        <v>570</v>
      </c>
      <c r="G52" s="151" t="s">
        <v>562</v>
      </c>
      <c r="H52" s="150" t="s">
        <v>259</v>
      </c>
      <c r="I52" s="150" t="s">
        <v>259</v>
      </c>
      <c r="J52" s="151" t="s">
        <v>568</v>
      </c>
      <c r="K52" s="150" t="s">
        <v>259</v>
      </c>
      <c r="L52" s="150" t="s">
        <v>259</v>
      </c>
      <c r="M52" s="151" t="s">
        <v>568</v>
      </c>
    </row>
    <row r="53" spans="3:14" s="151" customFormat="1" x14ac:dyDescent="0.25">
      <c r="C53" s="342" t="s">
        <v>920</v>
      </c>
      <c r="D53" s="151" t="s">
        <v>551</v>
      </c>
      <c r="E53" s="151" t="s">
        <v>349</v>
      </c>
      <c r="F53" s="153" t="s">
        <v>570</v>
      </c>
      <c r="G53" s="151" t="s">
        <v>554</v>
      </c>
      <c r="H53" s="150">
        <v>11</v>
      </c>
      <c r="I53" s="150">
        <v>12.2</v>
      </c>
      <c r="J53" s="151" t="s">
        <v>567</v>
      </c>
      <c r="K53" s="152">
        <v>3.3</v>
      </c>
      <c r="L53" s="152">
        <v>2.25</v>
      </c>
      <c r="M53" s="151" t="s">
        <v>567</v>
      </c>
      <c r="N53" s="152"/>
    </row>
    <row r="54" spans="3:14" s="151" customFormat="1" x14ac:dyDescent="0.25">
      <c r="C54" s="151" t="s">
        <v>349</v>
      </c>
      <c r="D54" s="151" t="s">
        <v>551</v>
      </c>
      <c r="E54" s="151" t="s">
        <v>349</v>
      </c>
      <c r="F54" s="153" t="s">
        <v>570</v>
      </c>
      <c r="G54" s="151" t="s">
        <v>554</v>
      </c>
      <c r="H54" s="150">
        <v>11</v>
      </c>
      <c r="I54" s="150">
        <v>11.2</v>
      </c>
      <c r="J54" s="151" t="s">
        <v>567</v>
      </c>
      <c r="K54" s="152">
        <v>3.3</v>
      </c>
      <c r="L54" s="152">
        <v>2.25</v>
      </c>
      <c r="M54" s="151" t="s">
        <v>567</v>
      </c>
      <c r="N54" s="152"/>
    </row>
    <row r="55" spans="3:14" s="151" customFormat="1" x14ac:dyDescent="0.25">
      <c r="C55" s="342" t="s">
        <v>920</v>
      </c>
      <c r="D55" s="151" t="s">
        <v>551</v>
      </c>
      <c r="E55" s="151" t="s">
        <v>349</v>
      </c>
      <c r="F55" s="153" t="s">
        <v>570</v>
      </c>
      <c r="G55" s="151" t="s">
        <v>553</v>
      </c>
      <c r="H55" s="150">
        <v>10.6</v>
      </c>
      <c r="I55" s="150">
        <v>11.6</v>
      </c>
      <c r="J55" s="151" t="s">
        <v>567</v>
      </c>
      <c r="K55" s="152">
        <v>3.2</v>
      </c>
      <c r="L55" s="152">
        <v>2.0499999999999998</v>
      </c>
      <c r="M55" s="151" t="s">
        <v>567</v>
      </c>
      <c r="N55" s="152"/>
    </row>
    <row r="56" spans="3:14" s="151" customFormat="1" x14ac:dyDescent="0.25">
      <c r="C56" s="151" t="s">
        <v>349</v>
      </c>
      <c r="D56" s="151" t="s">
        <v>551</v>
      </c>
      <c r="E56" s="151" t="s">
        <v>349</v>
      </c>
      <c r="F56" s="153" t="s">
        <v>570</v>
      </c>
      <c r="G56" s="151" t="s">
        <v>553</v>
      </c>
      <c r="H56" s="150">
        <v>10.6</v>
      </c>
      <c r="I56" s="150">
        <v>10.7</v>
      </c>
      <c r="J56" s="151" t="s">
        <v>567</v>
      </c>
      <c r="K56" s="152">
        <v>3.2</v>
      </c>
      <c r="L56" s="152">
        <v>2.0499999999999998</v>
      </c>
      <c r="M56" s="151" t="s">
        <v>567</v>
      </c>
      <c r="N56" s="152"/>
    </row>
    <row r="57" spans="3:14" s="151" customFormat="1" x14ac:dyDescent="0.25">
      <c r="C57" s="342" t="s">
        <v>920</v>
      </c>
      <c r="D57" s="151" t="s">
        <v>551</v>
      </c>
      <c r="E57" s="151" t="s">
        <v>349</v>
      </c>
      <c r="F57" s="153" t="s">
        <v>570</v>
      </c>
      <c r="G57" s="151" t="s">
        <v>552</v>
      </c>
      <c r="H57" s="150">
        <v>9.5</v>
      </c>
      <c r="I57" s="150">
        <v>10.6</v>
      </c>
      <c r="J57" s="151" t="s">
        <v>567</v>
      </c>
      <c r="K57" s="152">
        <v>3.2</v>
      </c>
      <c r="L57" s="152">
        <v>2.0499999999999998</v>
      </c>
      <c r="M57" s="151" t="s">
        <v>567</v>
      </c>
      <c r="N57" s="152"/>
    </row>
    <row r="58" spans="3:14" s="151" customFormat="1" x14ac:dyDescent="0.25">
      <c r="C58" s="151" t="s">
        <v>349</v>
      </c>
      <c r="D58" s="151" t="s">
        <v>551</v>
      </c>
      <c r="E58" s="151" t="s">
        <v>349</v>
      </c>
      <c r="F58" s="153" t="s">
        <v>570</v>
      </c>
      <c r="G58" s="151" t="s">
        <v>552</v>
      </c>
      <c r="H58" s="150">
        <v>9.5</v>
      </c>
      <c r="I58" s="150">
        <v>9.6</v>
      </c>
      <c r="J58" s="151" t="s">
        <v>567</v>
      </c>
      <c r="K58" s="152">
        <v>3.2</v>
      </c>
      <c r="L58" s="152">
        <v>2.0499999999999998</v>
      </c>
      <c r="M58" s="151" t="s">
        <v>567</v>
      </c>
      <c r="N58" s="152"/>
    </row>
    <row r="59" spans="3:14" s="151" customFormat="1" x14ac:dyDescent="0.25">
      <c r="C59" s="151" t="s">
        <v>349</v>
      </c>
      <c r="D59" s="151" t="s">
        <v>551</v>
      </c>
      <c r="E59" s="151" t="s">
        <v>349</v>
      </c>
      <c r="F59" s="153" t="s">
        <v>547</v>
      </c>
      <c r="G59" s="151" t="s">
        <v>565</v>
      </c>
      <c r="H59" s="155">
        <v>11.2</v>
      </c>
      <c r="I59" s="155" t="s">
        <v>259</v>
      </c>
      <c r="J59" s="151" t="s">
        <v>563</v>
      </c>
      <c r="K59" s="152">
        <v>4.2</v>
      </c>
      <c r="L59" s="152" t="s">
        <v>259</v>
      </c>
      <c r="M59" s="151" t="s">
        <v>563</v>
      </c>
    </row>
    <row r="60" spans="3:14" s="151" customFormat="1" x14ac:dyDescent="0.25">
      <c r="C60" s="151" t="s">
        <v>349</v>
      </c>
      <c r="D60" s="151" t="s">
        <v>551</v>
      </c>
      <c r="E60" s="151" t="s">
        <v>349</v>
      </c>
      <c r="F60" s="153" t="s">
        <v>547</v>
      </c>
      <c r="G60" s="151" t="s">
        <v>562</v>
      </c>
      <c r="H60" s="155">
        <v>12</v>
      </c>
      <c r="I60" s="155" t="s">
        <v>259</v>
      </c>
      <c r="J60" s="151" t="s">
        <v>563</v>
      </c>
      <c r="K60" s="152">
        <v>4.2</v>
      </c>
      <c r="L60" s="152" t="s">
        <v>259</v>
      </c>
      <c r="M60" s="151" t="s">
        <v>563</v>
      </c>
    </row>
    <row r="61" spans="3:14" s="151" customFormat="1" x14ac:dyDescent="0.25">
      <c r="C61" s="342" t="s">
        <v>920</v>
      </c>
      <c r="D61" s="151" t="s">
        <v>551</v>
      </c>
      <c r="E61" s="151" t="s">
        <v>349</v>
      </c>
      <c r="F61" s="153" t="s">
        <v>547</v>
      </c>
      <c r="G61" s="151" t="s">
        <v>554</v>
      </c>
      <c r="H61" s="343">
        <v>13</v>
      </c>
      <c r="I61" s="343" t="s">
        <v>259</v>
      </c>
      <c r="J61" s="151" t="s">
        <v>567</v>
      </c>
      <c r="K61" s="343">
        <v>4.3</v>
      </c>
      <c r="L61" s="343" t="s">
        <v>259</v>
      </c>
      <c r="M61" s="151" t="s">
        <v>567</v>
      </c>
    </row>
    <row r="62" spans="3:14" s="151" customFormat="1" x14ac:dyDescent="0.25">
      <c r="C62" s="151" t="s">
        <v>349</v>
      </c>
      <c r="D62" s="151" t="s">
        <v>551</v>
      </c>
      <c r="E62" s="151" t="s">
        <v>349</v>
      </c>
      <c r="F62" s="153" t="s">
        <v>547</v>
      </c>
      <c r="G62" s="151" t="s">
        <v>554</v>
      </c>
      <c r="H62" s="150">
        <v>12</v>
      </c>
      <c r="I62" s="151" t="s">
        <v>259</v>
      </c>
      <c r="J62" s="151" t="s">
        <v>567</v>
      </c>
      <c r="K62" s="151">
        <v>4.2</v>
      </c>
      <c r="L62" s="151" t="s">
        <v>259</v>
      </c>
      <c r="M62" s="151" t="s">
        <v>567</v>
      </c>
    </row>
    <row r="63" spans="3:14" s="151" customFormat="1" x14ac:dyDescent="0.25">
      <c r="C63" s="342" t="s">
        <v>920</v>
      </c>
      <c r="D63" s="342" t="s">
        <v>551</v>
      </c>
      <c r="E63" s="342" t="s">
        <v>349</v>
      </c>
      <c r="F63" s="344" t="s">
        <v>547</v>
      </c>
      <c r="G63" s="342" t="s">
        <v>553</v>
      </c>
      <c r="H63" s="343">
        <v>12.3</v>
      </c>
      <c r="I63" s="343" t="s">
        <v>259</v>
      </c>
      <c r="J63" s="151" t="s">
        <v>563</v>
      </c>
      <c r="K63" s="343">
        <v>2.9</v>
      </c>
      <c r="L63" s="343" t="s">
        <v>259</v>
      </c>
      <c r="M63" s="151" t="s">
        <v>563</v>
      </c>
    </row>
    <row r="64" spans="3:14" s="151" customFormat="1" x14ac:dyDescent="0.25">
      <c r="C64" s="151" t="s">
        <v>349</v>
      </c>
      <c r="D64" s="151" t="s">
        <v>551</v>
      </c>
      <c r="E64" s="151" t="s">
        <v>349</v>
      </c>
      <c r="F64" s="153" t="s">
        <v>547</v>
      </c>
      <c r="G64" s="151" t="s">
        <v>553</v>
      </c>
      <c r="H64" s="150">
        <v>12.3</v>
      </c>
      <c r="I64" s="150" t="s">
        <v>259</v>
      </c>
      <c r="J64" s="151" t="s">
        <v>563</v>
      </c>
      <c r="K64" s="150">
        <v>2.9</v>
      </c>
      <c r="L64" s="150" t="s">
        <v>259</v>
      </c>
      <c r="M64" s="151" t="s">
        <v>563</v>
      </c>
    </row>
    <row r="65" spans="2:13" s="151" customFormat="1" x14ac:dyDescent="0.25">
      <c r="C65" s="151" t="s">
        <v>349</v>
      </c>
      <c r="D65" s="151" t="s">
        <v>551</v>
      </c>
      <c r="E65" s="151" t="s">
        <v>349</v>
      </c>
      <c r="F65" s="153" t="s">
        <v>547</v>
      </c>
      <c r="G65" s="151" t="s">
        <v>556</v>
      </c>
      <c r="H65" s="150">
        <v>12.2</v>
      </c>
      <c r="I65" s="150" t="s">
        <v>259</v>
      </c>
      <c r="J65" s="151" t="s">
        <v>563</v>
      </c>
      <c r="K65" s="346" t="s">
        <v>259</v>
      </c>
      <c r="L65" s="150" t="s">
        <v>259</v>
      </c>
      <c r="M65" s="151" t="s">
        <v>563</v>
      </c>
    </row>
    <row r="66" spans="2:13" s="151" customFormat="1" x14ac:dyDescent="0.25">
      <c r="C66" s="342" t="s">
        <v>920</v>
      </c>
      <c r="D66" s="151" t="s">
        <v>551</v>
      </c>
      <c r="E66" s="151" t="s">
        <v>349</v>
      </c>
      <c r="F66" s="154" t="s">
        <v>548</v>
      </c>
      <c r="G66" s="151" t="s">
        <v>554</v>
      </c>
      <c r="H66" s="343">
        <v>18</v>
      </c>
      <c r="I66" s="343" t="s">
        <v>259</v>
      </c>
      <c r="J66" s="151" t="s">
        <v>567</v>
      </c>
      <c r="K66" s="343">
        <v>3.7</v>
      </c>
      <c r="L66" s="343" t="s">
        <v>259</v>
      </c>
      <c r="M66" s="151" t="s">
        <v>567</v>
      </c>
    </row>
    <row r="67" spans="2:13" s="151" customFormat="1" x14ac:dyDescent="0.25">
      <c r="C67" s="151" t="s">
        <v>349</v>
      </c>
      <c r="D67" s="151" t="s">
        <v>551</v>
      </c>
      <c r="E67" s="151" t="s">
        <v>349</v>
      </c>
      <c r="F67" s="154" t="s">
        <v>548</v>
      </c>
      <c r="G67" s="151" t="s">
        <v>554</v>
      </c>
      <c r="H67" s="150">
        <v>16.2</v>
      </c>
      <c r="I67" s="151" t="s">
        <v>259</v>
      </c>
      <c r="J67" s="151" t="s">
        <v>567</v>
      </c>
      <c r="K67" s="151">
        <v>3.6</v>
      </c>
      <c r="L67" s="151" t="s">
        <v>259</v>
      </c>
      <c r="M67" s="151" t="s">
        <v>567</v>
      </c>
    </row>
    <row r="68" spans="2:13" s="151" customFormat="1" x14ac:dyDescent="0.25">
      <c r="C68" s="151" t="s">
        <v>349</v>
      </c>
      <c r="D68" s="151" t="s">
        <v>551</v>
      </c>
      <c r="E68" s="151" t="s">
        <v>349</v>
      </c>
      <c r="F68" s="154" t="s">
        <v>548</v>
      </c>
      <c r="G68" s="151" t="s">
        <v>558</v>
      </c>
      <c r="H68" s="150" t="s">
        <v>259</v>
      </c>
      <c r="I68" s="150" t="s">
        <v>259</v>
      </c>
      <c r="J68" s="151" t="s">
        <v>259</v>
      </c>
      <c r="K68" s="150" t="s">
        <v>259</v>
      </c>
      <c r="L68" s="150" t="s">
        <v>259</v>
      </c>
      <c r="M68" s="151" t="s">
        <v>259</v>
      </c>
    </row>
    <row r="69" spans="2:13" s="151" customFormat="1" x14ac:dyDescent="0.25">
      <c r="C69" s="342" t="s">
        <v>920</v>
      </c>
      <c r="D69" s="151" t="s">
        <v>551</v>
      </c>
      <c r="E69" s="151" t="s">
        <v>349</v>
      </c>
      <c r="F69" s="154" t="s">
        <v>557</v>
      </c>
      <c r="G69" s="151" t="s">
        <v>554</v>
      </c>
      <c r="H69" s="343">
        <v>14.1</v>
      </c>
      <c r="I69" s="343" t="s">
        <v>259</v>
      </c>
      <c r="J69" s="151" t="s">
        <v>567</v>
      </c>
      <c r="K69" s="343">
        <v>3.2</v>
      </c>
      <c r="L69" s="343" t="s">
        <v>259</v>
      </c>
      <c r="M69" s="151" t="s">
        <v>567</v>
      </c>
    </row>
    <row r="70" spans="2:13" s="151" customFormat="1" x14ac:dyDescent="0.25">
      <c r="C70" s="151" t="s">
        <v>349</v>
      </c>
      <c r="D70" s="151" t="s">
        <v>551</v>
      </c>
      <c r="E70" s="151" t="s">
        <v>349</v>
      </c>
      <c r="F70" s="154" t="s">
        <v>557</v>
      </c>
      <c r="G70" s="151" t="s">
        <v>554</v>
      </c>
      <c r="H70" s="150">
        <v>13.4</v>
      </c>
      <c r="I70" s="151" t="s">
        <v>259</v>
      </c>
      <c r="J70" s="151" t="s">
        <v>567</v>
      </c>
      <c r="K70" s="151">
        <v>3.1</v>
      </c>
      <c r="L70" s="151" t="s">
        <v>259</v>
      </c>
      <c r="M70" s="151" t="s">
        <v>567</v>
      </c>
    </row>
    <row r="71" spans="2:13" s="151" customFormat="1" x14ac:dyDescent="0.25">
      <c r="C71" s="151" t="s">
        <v>349</v>
      </c>
      <c r="D71" s="151" t="s">
        <v>551</v>
      </c>
      <c r="E71" s="151" t="s">
        <v>349</v>
      </c>
      <c r="F71" s="154" t="s">
        <v>557</v>
      </c>
      <c r="G71" s="151" t="s">
        <v>558</v>
      </c>
      <c r="H71" s="150" t="s">
        <v>259</v>
      </c>
      <c r="I71" s="150" t="s">
        <v>259</v>
      </c>
      <c r="J71" s="150" t="s">
        <v>259</v>
      </c>
      <c r="K71" s="150" t="s">
        <v>259</v>
      </c>
      <c r="L71" s="150" t="s">
        <v>259</v>
      </c>
      <c r="M71" s="151" t="s">
        <v>259</v>
      </c>
    </row>
    <row r="72" spans="2:13" s="151" customFormat="1" x14ac:dyDescent="0.25">
      <c r="C72" s="151" t="s">
        <v>349</v>
      </c>
      <c r="D72" s="151" t="s">
        <v>550</v>
      </c>
      <c r="E72" s="151" t="s">
        <v>806</v>
      </c>
      <c r="F72" s="154" t="s">
        <v>570</v>
      </c>
      <c r="G72" s="151" t="s">
        <v>562</v>
      </c>
      <c r="H72" s="150">
        <v>11</v>
      </c>
      <c r="I72" s="150" t="s">
        <v>259</v>
      </c>
      <c r="J72" s="150" t="s">
        <v>807</v>
      </c>
      <c r="K72" s="150" t="s">
        <v>259</v>
      </c>
      <c r="L72" s="150" t="s">
        <v>259</v>
      </c>
      <c r="M72" s="151" t="s">
        <v>259</v>
      </c>
    </row>
    <row r="73" spans="2:13" s="151" customFormat="1" x14ac:dyDescent="0.25">
      <c r="C73" s="151" t="s">
        <v>349</v>
      </c>
      <c r="D73" s="151" t="s">
        <v>550</v>
      </c>
      <c r="E73" s="151" t="s">
        <v>806</v>
      </c>
      <c r="F73" s="154" t="s">
        <v>570</v>
      </c>
      <c r="G73" s="151" t="s">
        <v>554</v>
      </c>
      <c r="H73" s="150">
        <v>10.4</v>
      </c>
      <c r="I73" s="150" t="s">
        <v>259</v>
      </c>
      <c r="J73" s="150" t="s">
        <v>807</v>
      </c>
      <c r="K73" s="150" t="s">
        <v>259</v>
      </c>
      <c r="L73" s="150" t="s">
        <v>259</v>
      </c>
      <c r="M73" s="151" t="s">
        <v>259</v>
      </c>
    </row>
    <row r="74" spans="2:13" s="151" customFormat="1" x14ac:dyDescent="0.25">
      <c r="C74" s="151" t="s">
        <v>349</v>
      </c>
      <c r="D74" s="151" t="s">
        <v>550</v>
      </c>
      <c r="E74" s="151" t="s">
        <v>806</v>
      </c>
      <c r="F74" s="154" t="s">
        <v>570</v>
      </c>
      <c r="G74" s="151" t="s">
        <v>553</v>
      </c>
      <c r="H74" s="150">
        <v>10.199999999999999</v>
      </c>
      <c r="I74" s="150" t="s">
        <v>259</v>
      </c>
      <c r="J74" s="150" t="s">
        <v>807</v>
      </c>
      <c r="K74" s="150" t="s">
        <v>259</v>
      </c>
      <c r="L74" s="150" t="s">
        <v>259</v>
      </c>
      <c r="M74" s="151" t="s">
        <v>259</v>
      </c>
    </row>
    <row r="75" spans="2:13" s="151" customFormat="1" x14ac:dyDescent="0.25">
      <c r="C75" s="151" t="s">
        <v>349</v>
      </c>
      <c r="D75" s="151" t="s">
        <v>550</v>
      </c>
      <c r="E75" s="151" t="s">
        <v>806</v>
      </c>
      <c r="F75" s="154" t="s">
        <v>570</v>
      </c>
      <c r="G75" s="151" t="s">
        <v>552</v>
      </c>
      <c r="H75" s="150">
        <v>10.199999999999999</v>
      </c>
      <c r="I75" s="150" t="s">
        <v>259</v>
      </c>
      <c r="J75" s="150" t="s">
        <v>808</v>
      </c>
      <c r="K75" s="150" t="s">
        <v>259</v>
      </c>
      <c r="L75" s="150" t="s">
        <v>259</v>
      </c>
      <c r="M75" s="151" t="s">
        <v>259</v>
      </c>
    </row>
    <row r="76" spans="2:13" s="151" customFormat="1" x14ac:dyDescent="0.25">
      <c r="B76" s="145" t="s">
        <v>245</v>
      </c>
    </row>
    <row r="77" spans="2:13" s="151" customFormat="1" x14ac:dyDescent="0.25"/>
    <row r="78" spans="2:13" s="151" customFormat="1" x14ac:dyDescent="0.25"/>
    <row r="79" spans="2:13" s="151" customFormat="1" x14ac:dyDescent="0.25"/>
    <row r="80" spans="2:13" s="151" customFormat="1" x14ac:dyDescent="0.25"/>
    <row r="81" s="151" customFormat="1" x14ac:dyDescent="0.25"/>
    <row r="82" s="151" customFormat="1" x14ac:dyDescent="0.25"/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5" tint="-0.499984740745262"/>
  </sheetPr>
  <dimension ref="A1:L39"/>
  <sheetViews>
    <sheetView workbookViewId="0">
      <selection activeCell="B1" sqref="B1"/>
    </sheetView>
  </sheetViews>
  <sheetFormatPr defaultRowHeight="15" x14ac:dyDescent="0.25"/>
  <cols>
    <col min="1" max="1" width="2.140625" style="33" customWidth="1"/>
    <col min="2" max="2" width="3.28515625" style="33" customWidth="1"/>
    <col min="3" max="3" width="27" style="33" customWidth="1"/>
    <col min="4" max="4" width="16.85546875" style="33" bestFit="1" customWidth="1"/>
    <col min="5" max="5" width="14.85546875" style="33" bestFit="1" customWidth="1"/>
    <col min="6" max="6" width="16.85546875" style="31" bestFit="1" customWidth="1"/>
    <col min="7" max="7" width="14.85546875" style="33" bestFit="1" customWidth="1"/>
    <col min="8" max="16384" width="9.140625" style="33"/>
  </cols>
  <sheetData>
    <row r="1" spans="1:12" s="39" customFormat="1" x14ac:dyDescent="0.25">
      <c r="A1" s="39" t="s">
        <v>250</v>
      </c>
      <c r="B1" s="39" t="s">
        <v>924</v>
      </c>
    </row>
    <row r="2" spans="1:12" s="39" customFormat="1" x14ac:dyDescent="0.25">
      <c r="A2" s="39" t="s">
        <v>250</v>
      </c>
    </row>
    <row r="3" spans="1:12" s="39" customFormat="1" x14ac:dyDescent="0.25">
      <c r="A3" s="39" t="s">
        <v>250</v>
      </c>
      <c r="B3" s="39" t="s">
        <v>357</v>
      </c>
    </row>
    <row r="4" spans="1:12" s="39" customFormat="1" x14ac:dyDescent="0.25">
      <c r="A4" s="39" t="s">
        <v>250</v>
      </c>
      <c r="C4" s="39" t="s">
        <v>394</v>
      </c>
    </row>
    <row r="5" spans="1:12" s="39" customFormat="1" x14ac:dyDescent="0.25">
      <c r="A5" s="39" t="s">
        <v>250</v>
      </c>
    </row>
    <row r="6" spans="1:12" s="39" customFormat="1" x14ac:dyDescent="0.25">
      <c r="A6" s="39" t="s">
        <v>250</v>
      </c>
      <c r="B6" s="39" t="s">
        <v>358</v>
      </c>
    </row>
    <row r="7" spans="1:12" s="39" customFormat="1" x14ac:dyDescent="0.25">
      <c r="A7" s="39" t="s">
        <v>250</v>
      </c>
      <c r="C7" s="39" t="s">
        <v>263</v>
      </c>
      <c r="D7" s="39" t="s">
        <v>264</v>
      </c>
      <c r="E7" s="39" t="s">
        <v>265</v>
      </c>
    </row>
    <row r="8" spans="1:12" s="39" customFormat="1" x14ac:dyDescent="0.25">
      <c r="A8" s="39" t="s">
        <v>250</v>
      </c>
      <c r="C8" s="32">
        <v>41186</v>
      </c>
      <c r="D8" s="33" t="s">
        <v>387</v>
      </c>
      <c r="E8" s="33" t="s">
        <v>266</v>
      </c>
    </row>
    <row r="9" spans="1:12" s="39" customFormat="1" x14ac:dyDescent="0.25">
      <c r="A9" s="39" t="s">
        <v>250</v>
      </c>
      <c r="C9" s="32">
        <v>41203</v>
      </c>
      <c r="D9" s="33" t="s">
        <v>387</v>
      </c>
      <c r="E9" s="33" t="s">
        <v>385</v>
      </c>
    </row>
    <row r="10" spans="1:12" x14ac:dyDescent="0.25">
      <c r="A10" s="33" t="s">
        <v>250</v>
      </c>
      <c r="C10" s="32"/>
    </row>
    <row r="11" spans="1:12" s="39" customFormat="1" x14ac:dyDescent="0.25">
      <c r="A11" s="39" t="s">
        <v>250</v>
      </c>
      <c r="B11" s="39" t="s">
        <v>359</v>
      </c>
    </row>
    <row r="12" spans="1:12" x14ac:dyDescent="0.25">
      <c r="A12" s="33" t="s">
        <v>250</v>
      </c>
      <c r="C12" s="33" t="s">
        <v>310</v>
      </c>
      <c r="K12" s="2"/>
      <c r="L12" s="2"/>
    </row>
    <row r="13" spans="1:12" x14ac:dyDescent="0.25">
      <c r="A13" s="33" t="s">
        <v>250</v>
      </c>
    </row>
    <row r="14" spans="1:12" s="39" customFormat="1" x14ac:dyDescent="0.25">
      <c r="A14" s="39" t="s">
        <v>250</v>
      </c>
      <c r="B14" s="39" t="s">
        <v>356</v>
      </c>
    </row>
    <row r="15" spans="1:12" x14ac:dyDescent="0.25">
      <c r="A15" s="33" t="s">
        <v>250</v>
      </c>
      <c r="C15" s="33" t="s">
        <v>311</v>
      </c>
      <c r="E15" s="31"/>
    </row>
    <row r="16" spans="1:12" x14ac:dyDescent="0.25">
      <c r="A16" s="33" t="s">
        <v>250</v>
      </c>
      <c r="C16" s="33" t="s">
        <v>395</v>
      </c>
      <c r="E16" s="31"/>
    </row>
    <row r="17" spans="1:8" x14ac:dyDescent="0.25">
      <c r="A17" s="33" t="s">
        <v>250</v>
      </c>
      <c r="C17" s="33" t="s">
        <v>397</v>
      </c>
      <c r="E17" s="31"/>
    </row>
    <row r="18" spans="1:8" x14ac:dyDescent="0.25">
      <c r="A18" s="33" t="s">
        <v>250</v>
      </c>
      <c r="E18" s="31"/>
    </row>
    <row r="19" spans="1:8" x14ac:dyDescent="0.25">
      <c r="A19" s="33" t="s">
        <v>250</v>
      </c>
      <c r="B19" s="33" t="s">
        <v>273</v>
      </c>
      <c r="F19" s="33"/>
    </row>
    <row r="20" spans="1:8" s="39" customFormat="1" x14ac:dyDescent="0.25">
      <c r="A20" s="39" t="s">
        <v>250</v>
      </c>
      <c r="C20" s="49" t="s">
        <v>377</v>
      </c>
    </row>
    <row r="21" spans="1:8" x14ac:dyDescent="0.25">
      <c r="A21" s="33" t="s">
        <v>250</v>
      </c>
      <c r="D21" s="30"/>
      <c r="E21" s="30"/>
      <c r="F21" s="30"/>
      <c r="G21" s="30"/>
      <c r="H21" s="30"/>
    </row>
    <row r="22" spans="1:8" x14ac:dyDescent="0.25">
      <c r="A22" s="33" t="s">
        <v>250</v>
      </c>
    </row>
    <row r="23" spans="1:8" s="39" customFormat="1" x14ac:dyDescent="0.25">
      <c r="A23" s="39" t="s">
        <v>366</v>
      </c>
    </row>
    <row r="24" spans="1:8" x14ac:dyDescent="0.25">
      <c r="B24" s="2" t="str">
        <f>"TABLE "&amp;$C$4</f>
        <v>TABLE ChillerMinEffReq</v>
      </c>
      <c r="F24" s="33"/>
    </row>
    <row r="25" spans="1:8" x14ac:dyDescent="0.25">
      <c r="C25" s="29" t="s">
        <v>281</v>
      </c>
      <c r="D25" s="29" t="s">
        <v>280</v>
      </c>
      <c r="E25" s="33" t="s">
        <v>313</v>
      </c>
      <c r="F25" s="33"/>
    </row>
    <row r="26" spans="1:8" x14ac:dyDescent="0.25">
      <c r="C26" s="29" t="s">
        <v>396</v>
      </c>
      <c r="D26" s="29" t="s">
        <v>398</v>
      </c>
      <c r="E26" s="33">
        <v>0.8</v>
      </c>
      <c r="F26" s="33"/>
    </row>
    <row r="27" spans="1:8" x14ac:dyDescent="0.25">
      <c r="C27" s="29" t="s">
        <v>396</v>
      </c>
      <c r="D27" s="29" t="s">
        <v>399</v>
      </c>
      <c r="E27" s="33">
        <v>0.79</v>
      </c>
      <c r="F27" s="33"/>
    </row>
    <row r="28" spans="1:8" x14ac:dyDescent="0.25">
      <c r="C28" s="29" t="s">
        <v>396</v>
      </c>
      <c r="D28" s="29" t="s">
        <v>312</v>
      </c>
      <c r="E28" s="33">
        <v>0.71799999999999997</v>
      </c>
      <c r="F28" s="33"/>
    </row>
    <row r="29" spans="1:8" x14ac:dyDescent="0.25">
      <c r="C29" s="29" t="s">
        <v>396</v>
      </c>
      <c r="D29" s="29" t="s">
        <v>314</v>
      </c>
      <c r="E29" s="33">
        <v>0.63900000000000001</v>
      </c>
      <c r="F29" s="33"/>
    </row>
    <row r="30" spans="1:8" x14ac:dyDescent="0.25">
      <c r="C30" s="29" t="s">
        <v>400</v>
      </c>
      <c r="D30" s="29" t="s">
        <v>399</v>
      </c>
      <c r="E30" s="33">
        <v>0.63900000000000001</v>
      </c>
      <c r="F30" s="33"/>
      <c r="G30" s="36"/>
    </row>
    <row r="31" spans="1:8" x14ac:dyDescent="0.25">
      <c r="C31" s="29" t="s">
        <v>400</v>
      </c>
      <c r="D31" s="29" t="s">
        <v>312</v>
      </c>
      <c r="E31" s="33">
        <v>0.63900000000000001</v>
      </c>
      <c r="F31" s="33"/>
      <c r="G31" s="36"/>
    </row>
    <row r="32" spans="1:8" x14ac:dyDescent="0.25">
      <c r="C32" s="29" t="s">
        <v>400</v>
      </c>
      <c r="D32" s="29" t="s">
        <v>401</v>
      </c>
      <c r="E32" s="33">
        <v>0.6</v>
      </c>
      <c r="F32" s="33"/>
      <c r="G32" s="36"/>
    </row>
    <row r="33" spans="2:7" x14ac:dyDescent="0.25">
      <c r="C33" s="29" t="s">
        <v>400</v>
      </c>
      <c r="D33" s="29" t="s">
        <v>402</v>
      </c>
      <c r="E33" s="33">
        <v>0.59</v>
      </c>
      <c r="F33" s="33"/>
      <c r="G33" s="36"/>
    </row>
    <row r="34" spans="2:7" x14ac:dyDescent="0.25">
      <c r="B34" s="33" t="s">
        <v>245</v>
      </c>
      <c r="C34" s="29"/>
      <c r="F34" s="36"/>
      <c r="G34" s="36"/>
    </row>
    <row r="35" spans="2:7" x14ac:dyDescent="0.25">
      <c r="C35" s="28"/>
      <c r="F35" s="33"/>
      <c r="G35" s="36"/>
    </row>
    <row r="36" spans="2:7" x14ac:dyDescent="0.25">
      <c r="C36" s="28"/>
      <c r="F36" s="33"/>
      <c r="G36" s="31"/>
    </row>
    <row r="37" spans="2:7" x14ac:dyDescent="0.25">
      <c r="C37" s="28"/>
      <c r="F37" s="33"/>
    </row>
    <row r="38" spans="2:7" x14ac:dyDescent="0.25">
      <c r="C38" s="28"/>
      <c r="F38" s="33"/>
    </row>
    <row r="39" spans="2:7" x14ac:dyDescent="0.25">
      <c r="F39" s="3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W15"/>
  <sheetViews>
    <sheetView workbookViewId="0">
      <selection activeCell="G38" sqref="G38"/>
    </sheetView>
  </sheetViews>
  <sheetFormatPr defaultRowHeight="15" x14ac:dyDescent="0.25"/>
  <cols>
    <col min="3" max="3" width="15.7109375" style="40" customWidth="1"/>
    <col min="4" max="4" width="14.5703125" customWidth="1"/>
    <col min="5" max="5" width="16.5703125" customWidth="1"/>
    <col min="6" max="6" width="15.42578125" customWidth="1"/>
    <col min="7" max="7" width="15.42578125" style="39" customWidth="1"/>
    <col min="13" max="13" width="15.7109375" style="40" customWidth="1"/>
    <col min="14" max="14" width="34.28515625" style="41" bestFit="1" customWidth="1"/>
  </cols>
  <sheetData>
    <row r="1" spans="1:23" x14ac:dyDescent="0.25">
      <c r="A1" s="33" t="s">
        <v>272</v>
      </c>
      <c r="B1" s="33"/>
      <c r="C1" s="29"/>
      <c r="D1" s="33"/>
      <c r="E1" s="33"/>
      <c r="F1" s="31"/>
      <c r="G1" s="31"/>
      <c r="K1" s="33"/>
      <c r="L1" s="33"/>
      <c r="M1" s="29"/>
      <c r="N1" s="33"/>
      <c r="O1" s="33"/>
      <c r="P1" s="31"/>
      <c r="Q1" s="33"/>
      <c r="R1" s="33"/>
      <c r="S1" s="33"/>
      <c r="T1" s="33"/>
      <c r="U1" s="33"/>
      <c r="V1" s="33"/>
      <c r="W1" s="33"/>
    </row>
    <row r="2" spans="1:23" x14ac:dyDescent="0.25">
      <c r="A2" s="33"/>
      <c r="B2" s="33" t="s">
        <v>275</v>
      </c>
      <c r="C2" s="29"/>
      <c r="D2" s="33"/>
      <c r="E2" s="33"/>
      <c r="F2" s="33"/>
      <c r="G2" s="33"/>
      <c r="K2" s="33"/>
      <c r="L2" s="33"/>
      <c r="M2" s="29"/>
      <c r="N2" s="33"/>
      <c r="O2" s="33"/>
      <c r="P2" s="33"/>
      <c r="Q2" s="33"/>
      <c r="R2" s="33"/>
      <c r="S2" s="33"/>
      <c r="T2" s="33"/>
      <c r="U2" s="33"/>
      <c r="V2" s="33"/>
      <c r="W2" s="33"/>
    </row>
    <row r="3" spans="1:23" x14ac:dyDescent="0.25">
      <c r="A3" s="33"/>
      <c r="B3" s="33"/>
      <c r="C3" s="29" t="s">
        <v>280</v>
      </c>
      <c r="D3" s="33" t="s">
        <v>11</v>
      </c>
      <c r="E3" s="34" t="s">
        <v>12</v>
      </c>
      <c r="F3" s="33" t="s">
        <v>11</v>
      </c>
      <c r="G3" s="34" t="s">
        <v>12</v>
      </c>
      <c r="K3" s="33"/>
      <c r="L3" s="33"/>
      <c r="M3" s="29"/>
      <c r="N3" s="33"/>
      <c r="O3" s="34"/>
      <c r="P3" s="33"/>
      <c r="Q3" s="34"/>
      <c r="R3" s="33"/>
      <c r="S3" s="34"/>
      <c r="T3" s="33"/>
      <c r="U3" s="34"/>
      <c r="V3" s="33"/>
      <c r="W3" s="33"/>
    </row>
    <row r="4" spans="1:23" ht="30" x14ac:dyDescent="0.25">
      <c r="A4" s="33"/>
      <c r="C4" s="29" t="s">
        <v>281</v>
      </c>
      <c r="D4" s="29" t="s">
        <v>283</v>
      </c>
      <c r="E4" s="37" t="s">
        <v>283</v>
      </c>
      <c r="F4" s="29" t="s">
        <v>284</v>
      </c>
      <c r="G4" s="37" t="s">
        <v>284</v>
      </c>
      <c r="K4" s="33"/>
      <c r="L4" s="33"/>
      <c r="M4" s="29"/>
      <c r="N4" s="33"/>
      <c r="O4" s="34"/>
      <c r="P4" s="33"/>
      <c r="Q4" s="34"/>
      <c r="R4" s="33"/>
      <c r="S4" s="34"/>
      <c r="T4" s="33"/>
      <c r="U4" s="34"/>
      <c r="V4" s="33"/>
      <c r="W4" s="33"/>
    </row>
    <row r="5" spans="1:23" x14ac:dyDescent="0.25">
      <c r="A5" s="33"/>
      <c r="B5" s="33"/>
      <c r="C5" s="33" t="s">
        <v>279</v>
      </c>
      <c r="D5" s="36">
        <v>11.2</v>
      </c>
      <c r="E5" s="34">
        <v>11.4</v>
      </c>
      <c r="F5" s="36">
        <v>11</v>
      </c>
      <c r="G5" s="34">
        <v>11.2</v>
      </c>
      <c r="K5" s="33"/>
      <c r="L5" s="33"/>
      <c r="M5" s="29"/>
      <c r="N5" s="36"/>
      <c r="O5" s="34"/>
      <c r="P5" s="36"/>
      <c r="Q5" s="34"/>
      <c r="R5" s="36"/>
      <c r="S5" s="34"/>
      <c r="T5" s="36"/>
      <c r="U5" s="34"/>
      <c r="V5" s="33"/>
      <c r="W5" s="33"/>
    </row>
    <row r="6" spans="1:23" x14ac:dyDescent="0.25">
      <c r="A6" s="33"/>
      <c r="B6" s="33"/>
      <c r="C6" s="33" t="s">
        <v>276</v>
      </c>
      <c r="D6" s="36">
        <v>11</v>
      </c>
      <c r="E6" s="34">
        <v>11.2</v>
      </c>
      <c r="F6" s="36">
        <v>10.6</v>
      </c>
      <c r="G6" s="34">
        <v>10.7</v>
      </c>
      <c r="K6" s="33"/>
      <c r="L6" s="33"/>
      <c r="M6" s="29"/>
      <c r="N6" s="33"/>
      <c r="O6" s="34"/>
      <c r="P6" s="33"/>
      <c r="Q6" s="34"/>
      <c r="R6" s="33"/>
      <c r="S6" s="34"/>
      <c r="T6" s="33"/>
      <c r="U6" s="34"/>
      <c r="V6" s="33"/>
      <c r="W6" s="33"/>
    </row>
    <row r="7" spans="1:23" x14ac:dyDescent="0.25">
      <c r="A7" s="33"/>
      <c r="B7" s="33"/>
      <c r="C7" s="33" t="s">
        <v>282</v>
      </c>
      <c r="D7" s="38" t="s">
        <v>259</v>
      </c>
      <c r="E7" s="35" t="s">
        <v>259</v>
      </c>
      <c r="F7" s="36">
        <v>9.5</v>
      </c>
      <c r="G7" s="34">
        <v>9.6</v>
      </c>
      <c r="K7" s="33"/>
      <c r="L7" s="33"/>
      <c r="M7" s="28"/>
      <c r="N7" s="33"/>
      <c r="O7" s="34"/>
      <c r="P7" s="36"/>
      <c r="Q7" s="34"/>
      <c r="R7" s="33"/>
      <c r="S7" s="34"/>
      <c r="T7" s="33"/>
      <c r="U7" s="34"/>
      <c r="V7" s="33"/>
      <c r="W7" s="33"/>
    </row>
    <row r="8" spans="1:23" x14ac:dyDescent="0.25">
      <c r="A8" s="33"/>
      <c r="C8" s="33" t="s">
        <v>277</v>
      </c>
      <c r="D8" s="36">
        <v>10</v>
      </c>
      <c r="E8" s="34">
        <v>10.1</v>
      </c>
      <c r="F8" s="38" t="s">
        <v>259</v>
      </c>
      <c r="G8" s="35" t="s">
        <v>259</v>
      </c>
      <c r="K8" s="33"/>
      <c r="L8" s="33"/>
      <c r="M8" s="29"/>
      <c r="N8" s="33"/>
      <c r="O8" s="34"/>
      <c r="P8" s="33"/>
      <c r="Q8" s="34"/>
      <c r="R8" s="33"/>
      <c r="S8" s="34"/>
      <c r="T8" s="33"/>
      <c r="U8" s="34"/>
      <c r="V8" s="33"/>
      <c r="W8" s="34"/>
    </row>
    <row r="9" spans="1:23" x14ac:dyDescent="0.25">
      <c r="C9" s="33" t="s">
        <v>278</v>
      </c>
      <c r="D9" s="36">
        <v>9.6999999999999993</v>
      </c>
      <c r="E9" s="34">
        <v>9.8000000000000007</v>
      </c>
      <c r="F9" s="38" t="s">
        <v>259</v>
      </c>
      <c r="G9" s="35" t="s">
        <v>259</v>
      </c>
    </row>
    <row r="10" spans="1:23" x14ac:dyDescent="0.25">
      <c r="B10" s="33" t="s">
        <v>245</v>
      </c>
      <c r="L10" s="33"/>
      <c r="M10" s="33"/>
      <c r="N10" s="33"/>
      <c r="O10" s="33"/>
      <c r="P10" s="33"/>
      <c r="Q10" s="31"/>
      <c r="R10" s="33"/>
      <c r="S10" s="33"/>
      <c r="T10" s="33"/>
      <c r="U10" s="33"/>
      <c r="V10" s="33"/>
      <c r="W10" s="33"/>
    </row>
    <row r="11" spans="1:23" x14ac:dyDescent="0.25"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x14ac:dyDescent="0.25">
      <c r="L12" s="33"/>
      <c r="M12" s="33"/>
      <c r="N12" s="33"/>
      <c r="O12" s="33"/>
      <c r="P12" s="34"/>
      <c r="Q12" s="33"/>
      <c r="R12" s="34"/>
      <c r="S12" s="33"/>
      <c r="T12" s="34"/>
      <c r="U12" s="33"/>
      <c r="V12" s="34"/>
      <c r="W12" s="33"/>
    </row>
    <row r="13" spans="1:23" x14ac:dyDescent="0.25">
      <c r="L13" s="33"/>
      <c r="M13" s="33"/>
      <c r="N13" s="33"/>
      <c r="O13" s="33"/>
      <c r="P13" s="34"/>
      <c r="Q13" s="33"/>
      <c r="R13" s="34"/>
      <c r="S13" s="33"/>
      <c r="T13" s="34"/>
      <c r="U13" s="33"/>
      <c r="V13" s="34"/>
      <c r="W13" s="33"/>
    </row>
    <row r="14" spans="1:23" x14ac:dyDescent="0.25">
      <c r="L14" s="33"/>
      <c r="M14" s="33"/>
      <c r="N14" s="33"/>
      <c r="O14" s="36"/>
      <c r="P14" s="34"/>
      <c r="Q14" s="36"/>
      <c r="R14" s="34"/>
      <c r="S14" s="36"/>
      <c r="T14" s="34"/>
      <c r="U14" s="36"/>
      <c r="V14" s="34"/>
      <c r="W14" s="33"/>
    </row>
    <row r="15" spans="1:23" x14ac:dyDescent="0.25"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1</vt:i4>
      </vt:variant>
    </vt:vector>
  </HeadingPairs>
  <TitlesOfParts>
    <vt:vector size="34" baseType="lpstr">
      <vt:lpstr>Key</vt:lpstr>
      <vt:lpstr>2013StandardTableList</vt:lpstr>
      <vt:lpstr>LtgInputRestrictions_T24N_2013</vt:lpstr>
      <vt:lpstr>LtgInputRestrictions_T24N_2016</vt:lpstr>
      <vt:lpstr>LtgInputRestrictions_S901G</vt:lpstr>
      <vt:lpstr>PAFs_T24N_2013</vt:lpstr>
      <vt:lpstr>PAFs_T24N_2016</vt:lpstr>
      <vt:lpstr>PAFs_S901G</vt:lpstr>
      <vt:lpstr>AreaCategoryLPA</vt:lpstr>
      <vt:lpstr>TailoredMethodLPA_T24N_2013</vt:lpstr>
      <vt:lpstr>TailoredMethodLPA_T24N_2016</vt:lpstr>
      <vt:lpstr>IlluminanceLevelLPD_T24N_2013</vt:lpstr>
      <vt:lpstr>IlluminanceLevelLPD_T24N_2016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BaseSkylightPerf_T24N</vt:lpstr>
      <vt:lpstr>BaselineFenPerf_S901G</vt:lpstr>
      <vt:lpstr>NA6FenestrationUFactorCoeff</vt:lpstr>
      <vt:lpstr>NA6FenestrationVTf_T24N</vt:lpstr>
      <vt:lpstr>AltFenPerformance</vt:lpstr>
      <vt:lpstr>BaseOpaqueEnvEffRValue</vt:lpstr>
      <vt:lpstr>UnitaryAC-HPMinEffReq_Old</vt:lpstr>
      <vt:lpstr>UnitaryAC-HPMinEffReq_New</vt:lpstr>
      <vt:lpstr>ChillerMinEffReq</vt:lpstr>
      <vt:lpstr>Sheet3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Luke</cp:lastModifiedBy>
  <dcterms:created xsi:type="dcterms:W3CDTF">2012-09-11T19:42:19Z</dcterms:created>
  <dcterms:modified xsi:type="dcterms:W3CDTF">2016-03-31T23:32:40Z</dcterms:modified>
</cp:coreProperties>
</file>